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hij\Downloads\Roaster Application - Cine Flakes Entertainment Pvt Ltd\"/>
    </mc:Choice>
  </mc:AlternateContent>
  <xr:revisionPtr revIDLastSave="0" documentId="13_ncr:1_{952C9313-3F43-4019-985A-BBB509FC78B8}" xr6:coauthVersionLast="47" xr6:coauthVersionMax="47" xr10:uidLastSave="{00000000-0000-0000-0000-000000000000}"/>
  <bookViews>
    <workbookView xWindow="-108" yWindow="-108" windowWidth="23256" windowHeight="12456" tabRatio="800" activeTab="7" xr2:uid="{D1C3970D-AA17-43C5-B47E-4C5D40866DA4}"/>
  </bookViews>
  <sheets>
    <sheet name="SHOOTS" sheetId="1" r:id="rId1"/>
    <sheet name="EXPENSE" sheetId="10" r:id="rId2"/>
    <sheet name="PAYMENTS RECEIVED" sheetId="2" r:id="rId3"/>
    <sheet name="VACATIONS" sheetId="9" r:id="rId4"/>
    <sheet name="ROASTER" sheetId="7" r:id="rId5"/>
    <sheet name="MASTER DATA" sheetId="3" r:id="rId6"/>
    <sheet name="SHOOTS SUMMARY" sheetId="6" r:id="rId7"/>
    <sheet name="RECEIVED SUMMARY" sheetId="4" r:id="rId8"/>
  </sheets>
  <functionGroups builtInGroupCount="19"/>
  <definedNames>
    <definedName name="_xlnm._FilterDatabase" localSheetId="1" hidden="1">EXPENSE!$A$1:$J$1</definedName>
    <definedName name="_xlnm._FilterDatabase" localSheetId="2" hidden="1">'PAYMENTS RECEIVED'!$B$1:$I$5</definedName>
    <definedName name="_xlnm._FilterDatabase" localSheetId="0" hidden="1">SHOOTS!$A$1:$R$1</definedName>
    <definedName name="_xlnm._FilterDatabase" localSheetId="3" hidden="1">VACATIONS!$A$1:$F$1</definedName>
    <definedName name="_xlpm.Ar" hidden="1" xlm="1">#NAME?</definedName>
    <definedName name="_xlpm.artist" hidden="1" xlm="1">#NAME?</definedName>
    <definedName name="_xlpm.artists" hidden="1" xlm="1">#NAME?</definedName>
    <definedName name="_xlpm.bookCnt" hidden="1" xlm="1">#NAME?</definedName>
    <definedName name="_xlpm.booked" hidden="1" xlm="1">#NAME?</definedName>
    <definedName name="_xlpm.bookedCount" hidden="1" xlm="1">#NAME?</definedName>
    <definedName name="_xlpm.bookedDesc" hidden="1" xlm="1">#NAME?</definedName>
    <definedName name="_xlpm.bookedLoc" hidden="1" xlm="1">#NAME?</definedName>
    <definedName name="_xlpm.bookedMask" hidden="1" xlm="1">#NAME?</definedName>
    <definedName name="_xlpm.bookedRows" hidden="1" xlm="1">#NAME?</definedName>
    <definedName name="_xlpm.bookedTxt" hidden="1" xlm="1">#NAME?</definedName>
    <definedName name="_xlpm.bookedWork" hidden="1" xlm="1">#NAME?</definedName>
    <definedName name="_xlpm.bookMask" hidden="1" xlm="1">#NAME?</definedName>
    <definedName name="_xlpm.bookRow" hidden="1" xlm="1">#NAME?</definedName>
    <definedName name="_xlpm.Brow" hidden="1" xlm="1">#NAME?</definedName>
    <definedName name="_xlpm.conflict" hidden="1" xlm="1">#NAME?</definedName>
    <definedName name="_xlpm.conflictMask" hidden="1" xlm="1">#NAME?</definedName>
    <definedName name="_xlpm.d" hidden="1" xlm="1">#NAME?</definedName>
    <definedName name="_xlpm.Dt" hidden="1" xlm="1">#NAME?</definedName>
    <definedName name="_xlpm.eDates" hidden="1" xlm="1">#NAME?</definedName>
    <definedName name="_xlpm.loc" hidden="1" xlm="1">#NAME?</definedName>
    <definedName name="_xlpm.posB" hidden="1" xlm="1">#NAME?</definedName>
    <definedName name="_xlpm.posV" hidden="1" xlm="1">#NAME?</definedName>
    <definedName name="_xlpm.sDates" hidden="1" xlm="1">#NAME?</definedName>
    <definedName name="_xlpm.shA" hidden="1" xlm="1">#NAME?</definedName>
    <definedName name="_xlpm.shC" hidden="1" xlm="1">#NAME?</definedName>
    <definedName name="_xlpm.shD" hidden="1" xlm="1">#NAME?</definedName>
    <definedName name="_xlpm.shDesc" hidden="1" xlm="1">#NAME?</definedName>
    <definedName name="_xlpm.shE" hidden="1" xlm="1">#NAME?</definedName>
    <definedName name="_xlpm.ShEnd" hidden="1" xlm="1">#NAME?</definedName>
    <definedName name="_xlpm.shEraw" hidden="1" xlm="1">#NAME?</definedName>
    <definedName name="_xlpm.shL" hidden="1" xlm="1">#NAME?</definedName>
    <definedName name="_xlpm.shLoc" hidden="1" xlm="1">#NAME?</definedName>
    <definedName name="_xlpm.shootArtists" hidden="1" xlm="1">#NAME?</definedName>
    <definedName name="_xlpm.shootDates" hidden="1" xlm="1">#NAME?</definedName>
    <definedName name="_xlpm.shootDesc" hidden="1" xlm="1">#NAME?</definedName>
    <definedName name="_xlpm.shootEnd" hidden="1" xlm="1">#NAME?</definedName>
    <definedName name="_xlpm.shootIdx" hidden="1" xlm="1">#NAME?</definedName>
    <definedName name="_xlpm.shootStart" hidden="1" xlm="1">#NAME?</definedName>
    <definedName name="_xlpm.ShRange" hidden="1" xlm="1">#NAME?</definedName>
    <definedName name="_xlpm.shS" hidden="1" xlm="1">#NAME?</definedName>
    <definedName name="_xlpm.shSraw" hidden="1" xlm="1">#NAME?</definedName>
    <definedName name="_xlpm.ShStart" hidden="1" xlm="1">#NAME?</definedName>
    <definedName name="_xlpm.shT" hidden="1" xlm="1">#NAME?</definedName>
    <definedName name="_xlpm.shWork" hidden="1" xlm="1">#NAME?</definedName>
    <definedName name="_xlpm.targetDate" hidden="1" xlm="1">#NAME?</definedName>
    <definedName name="_xlpm.vA" hidden="1" xlm="1">#NAME?</definedName>
    <definedName name="_xlpm.vac" hidden="1" xlm="1">#NAME?</definedName>
    <definedName name="_xlpm.vacArt" hidden="1" xlm="1">#NAME?</definedName>
    <definedName name="_xlpm.vacArtists" hidden="1" xlm="1">#NAME?</definedName>
    <definedName name="_xlpm.vacCnt" hidden="1" xlm="1">#NAME?</definedName>
    <definedName name="_xlpm.vacCount" hidden="1" xlm="1">#NAME?</definedName>
    <definedName name="_xlpm.vacDates" hidden="1" xlm="1">#NAME?</definedName>
    <definedName name="_xlpm.vacE" hidden="1" xlm="1">#NAME?</definedName>
    <definedName name="_xlpm.vacEnd" hidden="1" xlm="1">#NAME?</definedName>
    <definedName name="_xlpm.vacIdx" hidden="1" xlm="1">#NAME?</definedName>
    <definedName name="_xlpm.vacMask" hidden="1" xlm="1">#NAME?</definedName>
    <definedName name="_xlpm.vacReason" hidden="1" xlm="1">#NAME?</definedName>
    <definedName name="_xlpm.vacRow" hidden="1" xlm="1">#NAME?</definedName>
    <definedName name="_xlpm.vacRows" hidden="1" xlm="1">#NAME?</definedName>
    <definedName name="_xlpm.vacS" hidden="1" xlm="1">#NAME?</definedName>
    <definedName name="_xlpm.vacStart" hidden="1" xlm="1">#NAME?</definedName>
    <definedName name="_xlpm.vacTxt" hidden="1" xlm="1">#NAME?</definedName>
    <definedName name="_xlpm.VcA" hidden="1" xlm="1">#NAME?</definedName>
    <definedName name="_xlpm.VcEnd" hidden="1" xlm="1">#NAME?</definedName>
    <definedName name="_xlpm.VcRange" hidden="1" xlm="1">#NAME?</definedName>
    <definedName name="_xlpm.VcReason" hidden="1" xlm="1">#NAME?</definedName>
    <definedName name="_xlpm.VcStart" hidden="1" xlm="1">#NAME?</definedName>
    <definedName name="_xlpm.vD" hidden="1" xlm="1">#NAME?</definedName>
    <definedName name="_xlpm.vE" hidden="1" xlm="1">#NAME?</definedName>
    <definedName name="_xlpm.vEraw" hidden="1" xlm="1">#NAME?</definedName>
    <definedName name="_xlpm.vR" hidden="1" xlm="1">#NAME?</definedName>
    <definedName name="_xlpm.Vrow" hidden="1" xlm="1">#NAME?</definedName>
    <definedName name="_xlpm.vS" hidden="1" xlm="1">#NAME?</definedName>
    <definedName name="_xlpm.vSraw" hidden="1" xlm="1">#NAME?</definedName>
    <definedName name="_xlpm.wt" hidden="1" xlm="1">#NAME?</definedName>
    <definedName name="_xlpm.wType" hidden="1" xlm="1">#NAME?</definedName>
    <definedName name="ARTISTS">'MASTER DATA'!$E$2:$E$12</definedName>
    <definedName name="COORDINATOR">'MASTER DATA'!$C$2:$C$10</definedName>
    <definedName name="EXPENSE_CATEGORY">'MASTER DATA'!$M$2:$M$20</definedName>
    <definedName name="MONTHS">'MASTER DATA'!$I$2:$I$13</definedName>
    <definedName name="PAYMENT_MODE">'MASTER DATA'!$A$2:$A$13</definedName>
    <definedName name="WORK_TYPE">'MASTER DATA'!$G$2:$G$9</definedName>
  </definedNames>
  <calcPr calcId="191029"/>
  <pivotCaches>
    <pivotCache cacheId="0" r:id="rId9"/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1" l="1"/>
  <c r="S3" i="1"/>
  <c r="J4" i="10"/>
  <c r="J3" i="10"/>
  <c r="J2" i="10"/>
  <c r="A4" i="10"/>
  <c r="A3" i="10"/>
  <c r="A2" i="10"/>
  <c r="D14" i="1"/>
  <c r="P14" i="1" s="1"/>
  <c r="D15" i="1"/>
  <c r="P15" i="1" s="1"/>
  <c r="J15" i="1"/>
  <c r="F12" i="7" s="1" a="1"/>
  <c r="F12" i="7" s="1"/>
  <c r="K15" i="1"/>
  <c r="F30" i="7" s="1" a="1"/>
  <c r="F30" i="7" s="1"/>
  <c r="L15" i="1"/>
  <c r="N15" i="1"/>
  <c r="O15" i="1" s="1"/>
  <c r="A15" i="1"/>
  <c r="L14" i="1"/>
  <c r="K14" i="1"/>
  <c r="J14" i="1"/>
  <c r="D12" i="1"/>
  <c r="P12" i="1" s="1"/>
  <c r="D13" i="1"/>
  <c r="P13" i="1" s="1"/>
  <c r="A13" i="1"/>
  <c r="A14" i="1"/>
  <c r="J13" i="1"/>
  <c r="I6" i="7" s="1" a="1"/>
  <c r="I6" i="7" s="1"/>
  <c r="K13" i="1"/>
  <c r="I18" i="7" s="1" a="1"/>
  <c r="I18" i="7" s="1"/>
  <c r="L13" i="1"/>
  <c r="N13" i="1"/>
  <c r="N14" i="1"/>
  <c r="D11" i="1"/>
  <c r="S11" i="1" s="1"/>
  <c r="A12" i="1"/>
  <c r="J12" i="1"/>
  <c r="K12" i="1"/>
  <c r="L12" i="1"/>
  <c r="N12" i="1"/>
  <c r="G5" i="7" a="1"/>
  <c r="G5" i="7" s="1"/>
  <c r="H5" i="7" a="1"/>
  <c r="H5" i="7" s="1"/>
  <c r="F6" i="7" a="1"/>
  <c r="F6" i="7" s="1"/>
  <c r="G6" i="7" a="1"/>
  <c r="G6" i="7" s="1"/>
  <c r="H6" i="7" a="1"/>
  <c r="H6" i="7" s="1"/>
  <c r="G7" i="7" a="1"/>
  <c r="G7" i="7" s="1"/>
  <c r="H7" i="7" a="1"/>
  <c r="H7" i="7" s="1"/>
  <c r="G8" i="7" a="1"/>
  <c r="G8" i="7" s="1"/>
  <c r="H8" i="7" a="1"/>
  <c r="H8" i="7" s="1"/>
  <c r="F9" i="7" a="1"/>
  <c r="F9" i="7" s="1"/>
  <c r="G9" i="7" a="1"/>
  <c r="G9" i="7" s="1"/>
  <c r="H9" i="7" a="1"/>
  <c r="H9" i="7" s="1"/>
  <c r="G10" i="7" a="1"/>
  <c r="G10" i="7" s="1"/>
  <c r="H10" i="7" a="1"/>
  <c r="H10" i="7" s="1"/>
  <c r="G11" i="7" a="1"/>
  <c r="G11" i="7" s="1"/>
  <c r="H11" i="7" a="1"/>
  <c r="H11" i="7" s="1"/>
  <c r="G12" i="7" a="1"/>
  <c r="G12" i="7" s="1"/>
  <c r="H12" i="7" a="1"/>
  <c r="H12" i="7" s="1"/>
  <c r="G13" i="7" a="1"/>
  <c r="G13" i="7" s="1"/>
  <c r="H13" i="7" a="1"/>
  <c r="H13" i="7" s="1"/>
  <c r="G14" i="7" a="1"/>
  <c r="G14" i="7" s="1"/>
  <c r="H14" i="7" a="1"/>
  <c r="H14" i="7" s="1"/>
  <c r="G15" i="7" a="1"/>
  <c r="G15" i="7" s="1"/>
  <c r="H15" i="7" a="1"/>
  <c r="H15" i="7" s="1"/>
  <c r="G16" i="7" a="1"/>
  <c r="G16" i="7" s="1"/>
  <c r="H16" i="7" a="1"/>
  <c r="H16" i="7" s="1"/>
  <c r="G17" i="7" a="1"/>
  <c r="G17" i="7" s="1"/>
  <c r="H17" i="7" a="1"/>
  <c r="H17" i="7" s="1"/>
  <c r="G18" i="7" a="1"/>
  <c r="G18" i="7" s="1"/>
  <c r="H18" i="7" a="1"/>
  <c r="H18" i="7" s="1"/>
  <c r="G19" i="7" a="1"/>
  <c r="G19" i="7" s="1"/>
  <c r="H19" i="7" a="1"/>
  <c r="H19" i="7" s="1"/>
  <c r="G20" i="7" a="1"/>
  <c r="G20" i="7" s="1"/>
  <c r="H20" i="7" a="1"/>
  <c r="H20" i="7" s="1"/>
  <c r="G21" i="7" a="1"/>
  <c r="G21" i="7" s="1"/>
  <c r="H21" i="7" a="1"/>
  <c r="H21" i="7" s="1"/>
  <c r="G22" i="7" a="1"/>
  <c r="G22" i="7" s="1"/>
  <c r="H22" i="7" a="1"/>
  <c r="H22" i="7" s="1"/>
  <c r="G23" i="7" a="1"/>
  <c r="G23" i="7" s="1"/>
  <c r="H23" i="7" a="1"/>
  <c r="H23" i="7" s="1"/>
  <c r="G24" i="7" a="1"/>
  <c r="G24" i="7" s="1"/>
  <c r="H24" i="7" a="1"/>
  <c r="H24" i="7" s="1"/>
  <c r="G25" i="7" a="1"/>
  <c r="G25" i="7" s="1"/>
  <c r="H25" i="7" a="1"/>
  <c r="H25" i="7" s="1"/>
  <c r="G26" i="7" a="1"/>
  <c r="G26" i="7" s="1"/>
  <c r="H26" i="7" a="1"/>
  <c r="H26" i="7" s="1"/>
  <c r="G27" i="7" a="1"/>
  <c r="G27" i="7" s="1"/>
  <c r="H27" i="7" a="1"/>
  <c r="H27" i="7" s="1"/>
  <c r="G28" i="7" a="1"/>
  <c r="G28" i="7" s="1"/>
  <c r="H28" i="7" a="1"/>
  <c r="H28" i="7" s="1"/>
  <c r="G29" i="7" a="1"/>
  <c r="G29" i="7" s="1"/>
  <c r="H29" i="7" a="1"/>
  <c r="H29" i="7" s="1"/>
  <c r="G30" i="7" a="1"/>
  <c r="G30" i="7" s="1"/>
  <c r="H30" i="7" a="1"/>
  <c r="H30" i="7" s="1"/>
  <c r="G31" i="7" a="1"/>
  <c r="G31" i="7" s="1"/>
  <c r="H31" i="7" a="1"/>
  <c r="H31" i="7" s="1"/>
  <c r="G32" i="7" a="1"/>
  <c r="G32" i="7" s="1"/>
  <c r="H32" i="7" a="1"/>
  <c r="H32" i="7" s="1"/>
  <c r="G33" i="7" a="1"/>
  <c r="G33" i="7" s="1"/>
  <c r="H33" i="7" a="1"/>
  <c r="H33" i="7" s="1"/>
  <c r="G34" i="7" a="1"/>
  <c r="G34" i="7" s="1"/>
  <c r="H34" i="7" a="1"/>
  <c r="H34" i="7" s="1"/>
  <c r="G35" i="7" a="1"/>
  <c r="G35" i="7" s="1"/>
  <c r="H35" i="7" a="1"/>
  <c r="H35" i="7" s="1"/>
  <c r="A3" i="7"/>
  <c r="A9" i="2"/>
  <c r="A8" i="2"/>
  <c r="A7" i="2"/>
  <c r="A6" i="2"/>
  <c r="A5" i="2"/>
  <c r="A4" i="2"/>
  <c r="A3" i="2"/>
  <c r="A2" i="2"/>
  <c r="A4" i="9"/>
  <c r="A5" i="9"/>
  <c r="E5" i="9"/>
  <c r="F5" i="9"/>
  <c r="E3" i="9"/>
  <c r="F3" i="9"/>
  <c r="E4" i="9"/>
  <c r="F4" i="9"/>
  <c r="F2" i="9"/>
  <c r="E2" i="9"/>
  <c r="J3" i="1"/>
  <c r="K3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K2" i="1"/>
  <c r="J2" i="1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5" i="7"/>
  <c r="A36" i="7"/>
  <c r="A37" i="7"/>
  <c r="A3" i="9"/>
  <c r="A2" i="9"/>
  <c r="S15" i="1" l="1"/>
  <c r="S14" i="1"/>
  <c r="S13" i="1"/>
  <c r="S12" i="1"/>
  <c r="F14" i="7" a="1"/>
  <c r="F14" i="7" s="1"/>
  <c r="F25" i="7" a="1"/>
  <c r="F25" i="7" s="1"/>
  <c r="F33" i="7" a="1"/>
  <c r="F33" i="7" s="1"/>
  <c r="F22" i="7" a="1"/>
  <c r="F22" i="7" s="1"/>
  <c r="F19" i="7" a="1"/>
  <c r="F19" i="7" s="1"/>
  <c r="F8" i="7" a="1"/>
  <c r="F8" i="7" s="1"/>
  <c r="F29" i="7" a="1"/>
  <c r="F29" i="7" s="1"/>
  <c r="F21" i="7" a="1"/>
  <c r="F21" i="7" s="1"/>
  <c r="F13" i="7" a="1"/>
  <c r="F13" i="7" s="1"/>
  <c r="F5" i="7" a="1"/>
  <c r="F5" i="7" s="1"/>
  <c r="F32" i="7" a="1"/>
  <c r="F32" i="7" s="1"/>
  <c r="F24" i="7" a="1"/>
  <c r="F24" i="7" s="1"/>
  <c r="F34" i="7" a="1"/>
  <c r="F34" i="7" s="1"/>
  <c r="F27" i="7" a="1"/>
  <c r="F27" i="7" s="1"/>
  <c r="F11" i="7" a="1"/>
  <c r="F11" i="7" s="1"/>
  <c r="F31" i="7" a="1"/>
  <c r="F31" i="7" s="1"/>
  <c r="F23" i="7" a="1"/>
  <c r="F23" i="7" s="1"/>
  <c r="F15" i="7" a="1"/>
  <c r="F15" i="7" s="1"/>
  <c r="F7" i="7" a="1"/>
  <c r="F7" i="7" s="1"/>
  <c r="F35" i="7" a="1"/>
  <c r="F35" i="7" s="1"/>
  <c r="F26" i="7" a="1"/>
  <c r="F26" i="7" s="1"/>
  <c r="F18" i="7" a="1"/>
  <c r="F18" i="7" s="1"/>
  <c r="F10" i="7" a="1"/>
  <c r="F10" i="7" s="1"/>
  <c r="F28" i="7" a="1"/>
  <c r="F28" i="7" s="1"/>
  <c r="F20" i="7" a="1"/>
  <c r="F20" i="7" s="1"/>
  <c r="R15" i="1"/>
  <c r="Q15" i="1"/>
  <c r="F17" i="7" s="1" a="1"/>
  <c r="F17" i="7" s="1"/>
  <c r="I34" i="7" a="1"/>
  <c r="I34" i="7" s="1"/>
  <c r="I15" i="7" a="1"/>
  <c r="I15" i="7" s="1"/>
  <c r="I7" i="7" a="1"/>
  <c r="I7" i="7" s="1"/>
  <c r="I32" i="7" a="1"/>
  <c r="I32" i="7" s="1"/>
  <c r="I24" i="7" a="1"/>
  <c r="I24" i="7" s="1"/>
  <c r="I11" i="7" a="1"/>
  <c r="I11" i="7" s="1"/>
  <c r="O14" i="1"/>
  <c r="Q14" i="1" s="1"/>
  <c r="I28" i="7" a="1"/>
  <c r="I28" i="7" s="1"/>
  <c r="I22" i="7" a="1"/>
  <c r="I22" i="7" s="1"/>
  <c r="I9" i="7" a="1"/>
  <c r="I9" i="7" s="1"/>
  <c r="I35" i="7" a="1"/>
  <c r="I35" i="7" s="1"/>
  <c r="I31" i="7" a="1"/>
  <c r="I31" i="7" s="1"/>
  <c r="I25" i="7" a="1"/>
  <c r="I25" i="7" s="1"/>
  <c r="I19" i="7" a="1"/>
  <c r="I19" i="7" s="1"/>
  <c r="I30" i="7" a="1"/>
  <c r="I30" i="7" s="1"/>
  <c r="I26" i="7" a="1"/>
  <c r="I26" i="7" s="1"/>
  <c r="I20" i="7" a="1"/>
  <c r="I20" i="7" s="1"/>
  <c r="I13" i="7" a="1"/>
  <c r="I13" i="7" s="1"/>
  <c r="I5" i="7" a="1"/>
  <c r="I5" i="7" s="1"/>
  <c r="I33" i="7" a="1"/>
  <c r="I33" i="7" s="1"/>
  <c r="I29" i="7" a="1"/>
  <c r="I29" i="7" s="1"/>
  <c r="I27" i="7" a="1"/>
  <c r="I27" i="7" s="1"/>
  <c r="I23" i="7" a="1"/>
  <c r="I23" i="7" s="1"/>
  <c r="I21" i="7" a="1"/>
  <c r="I21" i="7" s="1"/>
  <c r="I14" i="7" a="1"/>
  <c r="I14" i="7" s="1"/>
  <c r="I12" i="7" a="1"/>
  <c r="I12" i="7" s="1"/>
  <c r="I10" i="7" a="1"/>
  <c r="I10" i="7" s="1"/>
  <c r="I8" i="7" a="1"/>
  <c r="I8" i="7" s="1"/>
  <c r="O12" i="1"/>
  <c r="Q12" i="1" s="1"/>
  <c r="O13" i="1"/>
  <c r="R13" i="1" s="1"/>
  <c r="R14" i="1"/>
  <c r="D34" i="7" a="1"/>
  <c r="D34" i="7" s="1"/>
  <c r="B33" i="7" a="1"/>
  <c r="B33" i="7" s="1"/>
  <c r="D33" i="7" a="1"/>
  <c r="D33" i="7" s="1"/>
  <c r="C8" i="7" a="1"/>
  <c r="C8" i="7" s="1"/>
  <c r="E27" i="7" a="1"/>
  <c r="E27" i="7" s="1"/>
  <c r="E12" i="7" a="1"/>
  <c r="E12" i="7" s="1"/>
  <c r="B28" i="7" a="1"/>
  <c r="B28" i="7" s="1"/>
  <c r="C35" i="7" a="1"/>
  <c r="C35" i="7" s="1"/>
  <c r="C5" i="7" a="1"/>
  <c r="C5" i="7" s="1"/>
  <c r="B14" i="7" a="1"/>
  <c r="B14" i="7" s="1"/>
  <c r="C29" i="7" a="1"/>
  <c r="C29" i="7" s="1"/>
  <c r="C27" i="7" a="1"/>
  <c r="C27" i="7" s="1"/>
  <c r="C28" i="7" a="1"/>
  <c r="C28" i="7" s="1"/>
  <c r="E13" i="7" a="1"/>
  <c r="E13" i="7" s="1"/>
  <c r="E17" i="7" a="1"/>
  <c r="E17" i="7" s="1"/>
  <c r="E16" i="7" a="1"/>
  <c r="E16" i="7" s="1"/>
  <c r="E15" i="7" a="1"/>
  <c r="E15" i="7" s="1"/>
  <c r="D13" i="7" a="1"/>
  <c r="D13" i="7" s="1"/>
  <c r="E9" i="7" a="1"/>
  <c r="E9" i="7" s="1"/>
  <c r="C6" i="7" a="1"/>
  <c r="C6" i="7" s="1"/>
  <c r="B7" i="7" a="1"/>
  <c r="B7" i="7" s="1"/>
  <c r="B29" i="7" a="1"/>
  <c r="B29" i="7" s="1"/>
  <c r="E18" i="7" a="1"/>
  <c r="E18" i="7" s="1"/>
  <c r="D17" i="7" a="1"/>
  <c r="D17" i="7" s="1"/>
  <c r="E14" i="7" a="1"/>
  <c r="E14" i="7" s="1"/>
  <c r="B31" i="7" a="1"/>
  <c r="B31" i="7" s="1"/>
  <c r="B23" i="7" a="1"/>
  <c r="B23" i="7" s="1"/>
  <c r="B8" i="7" a="1"/>
  <c r="B8" i="7" s="1"/>
  <c r="B30" i="7" a="1"/>
  <c r="B30" i="7" s="1"/>
  <c r="D24" i="7" a="1"/>
  <c r="D24" i="7" s="1"/>
  <c r="E19" i="7" a="1"/>
  <c r="E19" i="7" s="1"/>
  <c r="E30" i="7" a="1"/>
  <c r="E30" i="7" s="1"/>
  <c r="E25" i="7" a="1"/>
  <c r="E25" i="7" s="1"/>
  <c r="E21" i="7" a="1"/>
  <c r="E21" i="7" s="1"/>
  <c r="D20" i="7" a="1"/>
  <c r="D20" i="7" s="1"/>
  <c r="D19" i="7" a="1"/>
  <c r="D19" i="7" s="1"/>
  <c r="C16" i="7" a="1"/>
  <c r="C16" i="7" s="1"/>
  <c r="C15" i="7" a="1"/>
  <c r="C15" i="7" s="1"/>
  <c r="C7" i="7" a="1"/>
  <c r="C7" i="7" s="1"/>
  <c r="C32" i="7" a="1"/>
  <c r="C32" i="7" s="1"/>
  <c r="D23" i="7" a="1"/>
  <c r="D23" i="7" s="1"/>
  <c r="E20" i="7" a="1"/>
  <c r="E20" i="7" s="1"/>
  <c r="D18" i="7" a="1"/>
  <c r="D18" i="7" s="1"/>
  <c r="D16" i="7" a="1"/>
  <c r="D16" i="7" s="1"/>
  <c r="D15" i="7" a="1"/>
  <c r="D15" i="7" s="1"/>
  <c r="D14" i="7" a="1"/>
  <c r="D14" i="7" s="1"/>
  <c r="E10" i="7" a="1"/>
  <c r="E10" i="7" s="1"/>
  <c r="B35" i="7" a="1"/>
  <c r="B35" i="7" s="1"/>
  <c r="B16" i="7" a="1"/>
  <c r="B16" i="7" s="1"/>
  <c r="E35" i="7" a="1"/>
  <c r="E35" i="7" s="1"/>
  <c r="B34" i="7" a="1"/>
  <c r="B34" i="7" s="1"/>
  <c r="B27" i="7" a="1"/>
  <c r="B27" i="7" s="1"/>
  <c r="B15" i="7" a="1"/>
  <c r="B15" i="7" s="1"/>
  <c r="D35" i="7" a="1"/>
  <c r="D35" i="7" s="1"/>
  <c r="E34" i="7" a="1"/>
  <c r="E34" i="7" s="1"/>
  <c r="E33" i="7" a="1"/>
  <c r="E33" i="7" s="1"/>
  <c r="E31" i="7" a="1"/>
  <c r="E31" i="7" s="1"/>
  <c r="D30" i="7" a="1"/>
  <c r="D30" i="7" s="1"/>
  <c r="E26" i="7" a="1"/>
  <c r="E26" i="7" s="1"/>
  <c r="D25" i="7" a="1"/>
  <c r="D25" i="7" s="1"/>
  <c r="E22" i="7" a="1"/>
  <c r="E22" i="7" s="1"/>
  <c r="D21" i="7" a="1"/>
  <c r="D21" i="7" s="1"/>
  <c r="E11" i="7" a="1"/>
  <c r="E11" i="7" s="1"/>
  <c r="E32" i="7" a="1"/>
  <c r="E32" i="7" s="1"/>
  <c r="D31" i="7" a="1"/>
  <c r="D31" i="7" s="1"/>
  <c r="E29" i="7" a="1"/>
  <c r="E29" i="7" s="1"/>
  <c r="E28" i="7" a="1"/>
  <c r="E28" i="7" s="1"/>
  <c r="D26" i="7" a="1"/>
  <c r="D26" i="7" s="1"/>
  <c r="D22" i="7" a="1"/>
  <c r="D22" i="7" s="1"/>
  <c r="B32" i="7" a="1"/>
  <c r="B32" i="7" s="1"/>
  <c r="B24" i="7" a="1"/>
  <c r="B24" i="7" s="1"/>
  <c r="B13" i="7" a="1"/>
  <c r="B13" i="7" s="1"/>
  <c r="C34" i="7" a="1"/>
  <c r="C34" i="7" s="1"/>
  <c r="C33" i="7" a="1"/>
  <c r="C33" i="7" s="1"/>
  <c r="D32" i="7" a="1"/>
  <c r="D32" i="7" s="1"/>
  <c r="C31" i="7" a="1"/>
  <c r="C31" i="7" s="1"/>
  <c r="C30" i="7" a="1"/>
  <c r="C30" i="7" s="1"/>
  <c r="D29" i="7" a="1"/>
  <c r="D29" i="7" s="1"/>
  <c r="D28" i="7" a="1"/>
  <c r="D28" i="7" s="1"/>
  <c r="D27" i="7" a="1"/>
  <c r="D27" i="7" s="1"/>
  <c r="A2" i="1"/>
  <c r="N3" i="1"/>
  <c r="N4" i="1"/>
  <c r="N5" i="1"/>
  <c r="N6" i="1"/>
  <c r="N7" i="1"/>
  <c r="N8" i="1"/>
  <c r="N9" i="1"/>
  <c r="N10" i="1"/>
  <c r="N11" i="1"/>
  <c r="N2" i="1"/>
  <c r="L3" i="1"/>
  <c r="L4" i="1"/>
  <c r="L5" i="1"/>
  <c r="L6" i="1"/>
  <c r="L7" i="1"/>
  <c r="L8" i="1"/>
  <c r="L9" i="1"/>
  <c r="L10" i="1"/>
  <c r="L11" i="1"/>
  <c r="L2" i="1"/>
  <c r="A4" i="1"/>
  <c r="A5" i="1"/>
  <c r="A6" i="1"/>
  <c r="A7" i="1"/>
  <c r="A8" i="1"/>
  <c r="A9" i="1"/>
  <c r="A10" i="1"/>
  <c r="A11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" i="1"/>
  <c r="D3" i="1"/>
  <c r="D4" i="1"/>
  <c r="S4" i="1" s="1"/>
  <c r="D5" i="1"/>
  <c r="S5" i="1" s="1"/>
  <c r="D6" i="1"/>
  <c r="S6" i="1" s="1"/>
  <c r="D7" i="1"/>
  <c r="S7" i="1" s="1"/>
  <c r="D8" i="1"/>
  <c r="S8" i="1" s="1"/>
  <c r="D9" i="1"/>
  <c r="S9" i="1" s="1"/>
  <c r="D10" i="1"/>
  <c r="S10" i="1" s="1"/>
  <c r="D2" i="1"/>
  <c r="P6" i="1" l="1"/>
  <c r="P5" i="1"/>
  <c r="P4" i="1"/>
  <c r="P3" i="1"/>
  <c r="P9" i="1"/>
  <c r="P7" i="1"/>
  <c r="P8" i="1"/>
  <c r="G3" i="2"/>
  <c r="E2" i="2"/>
  <c r="R12" i="1"/>
  <c r="F16" i="7" a="1"/>
  <c r="F16" i="7" s="1"/>
  <c r="Q13" i="1"/>
  <c r="O11" i="1"/>
  <c r="P2" i="1"/>
  <c r="O7" i="1"/>
  <c r="O5" i="1"/>
  <c r="Q5" i="1" s="1"/>
  <c r="D11" i="7" s="1" a="1"/>
  <c r="D11" i="7" s="1"/>
  <c r="P11" i="1"/>
  <c r="P10" i="1"/>
  <c r="F2" i="2"/>
  <c r="F5" i="2"/>
  <c r="F4" i="2"/>
  <c r="F3" i="2"/>
  <c r="E5" i="2"/>
  <c r="G5" i="2"/>
  <c r="O2" i="1"/>
  <c r="O4" i="1"/>
  <c r="O6" i="1"/>
  <c r="R6" i="1" s="1"/>
  <c r="E4" i="2"/>
  <c r="G4" i="2"/>
  <c r="G2" i="2"/>
  <c r="E3" i="2"/>
  <c r="O9" i="1"/>
  <c r="R9" i="1" s="1"/>
  <c r="O8" i="1"/>
  <c r="O3" i="1"/>
  <c r="O10" i="1"/>
  <c r="Q7" i="1" l="1"/>
  <c r="C17" i="7" s="1" a="1"/>
  <c r="C17" i="7" s="1"/>
  <c r="R8" i="1"/>
  <c r="I16" i="7" a="1"/>
  <c r="I16" i="7" s="1"/>
  <c r="I17" i="7" a="1"/>
  <c r="I17" i="7" s="1"/>
  <c r="R7" i="1"/>
  <c r="R5" i="1"/>
  <c r="Q6" i="1"/>
  <c r="C13" i="7" s="1" a="1"/>
  <c r="C13" i="7" s="1"/>
  <c r="Q2" i="1"/>
  <c r="R11" i="1"/>
  <c r="E5" i="7" a="1"/>
  <c r="E5" i="7" s="1"/>
  <c r="B12" i="7" a="1"/>
  <c r="B12" i="7" s="1"/>
  <c r="D12" i="7" a="1"/>
  <c r="D12" i="7" s="1"/>
  <c r="C18" i="7" a="1"/>
  <c r="C18" i="7" s="1"/>
  <c r="C11" i="7" a="1"/>
  <c r="C11" i="7" s="1"/>
  <c r="B18" i="7" a="1"/>
  <c r="B18" i="7" s="1"/>
  <c r="B11" i="7" a="1"/>
  <c r="B11" i="7" s="1"/>
  <c r="B17" i="7" a="1"/>
  <c r="B17" i="7" s="1"/>
  <c r="C12" i="7" a="1"/>
  <c r="C12" i="7" s="1"/>
  <c r="Q11" i="1"/>
  <c r="C26" i="7" s="1" a="1"/>
  <c r="C26" i="7" s="1"/>
  <c r="Q9" i="1"/>
  <c r="Q3" i="1"/>
  <c r="R4" i="1"/>
  <c r="Q4" i="1"/>
  <c r="Q10" i="1"/>
  <c r="C23" i="7" s="1" a="1"/>
  <c r="C23" i="7" s="1"/>
  <c r="R10" i="1"/>
  <c r="R3" i="1"/>
  <c r="R2" i="1"/>
  <c r="Q8" i="1"/>
  <c r="B19" i="7" s="1" a="1"/>
  <c r="B19" i="7" s="1"/>
  <c r="B20" i="7" l="1" a="1"/>
  <c r="B20" i="7" s="1"/>
  <c r="D6" i="7" a="1"/>
  <c r="D6" i="7" s="1"/>
  <c r="B6" i="7" a="1"/>
  <c r="B6" i="7" s="1"/>
  <c r="B5" i="7" a="1"/>
  <c r="B5" i="7" s="1"/>
  <c r="C14" i="7" a="1"/>
  <c r="C14" i="7" s="1"/>
  <c r="D5" i="7" a="1"/>
  <c r="D5" i="7" s="1"/>
  <c r="E6" i="7" a="1"/>
  <c r="E6" i="7" s="1"/>
  <c r="B25" i="7" a="1"/>
  <c r="B25" i="7" s="1"/>
  <c r="E23" i="7" a="1"/>
  <c r="E23" i="7" s="1"/>
  <c r="E24" i="7" a="1"/>
  <c r="E24" i="7" s="1"/>
  <c r="C24" i="7" a="1"/>
  <c r="C24" i="7" s="1"/>
  <c r="B26" i="7" a="1"/>
  <c r="B26" i="7" s="1"/>
  <c r="C25" i="7" a="1"/>
  <c r="C25" i="7" s="1"/>
  <c r="D9" i="7" a="1"/>
  <c r="D9" i="7" s="1"/>
  <c r="B10" i="7" a="1"/>
  <c r="B10" i="7" s="1"/>
  <c r="C10" i="7" a="1"/>
  <c r="C10" i="7" s="1"/>
  <c r="B9" i="7" a="1"/>
  <c r="B9" i="7" s="1"/>
  <c r="C9" i="7" a="1"/>
  <c r="C9" i="7" s="1"/>
  <c r="D10" i="7" a="1"/>
  <c r="D10" i="7" s="1"/>
  <c r="E7" i="7" a="1"/>
  <c r="E7" i="7" s="1"/>
  <c r="D7" i="7" a="1"/>
  <c r="D7" i="7" s="1"/>
  <c r="D8" i="7" a="1"/>
  <c r="D8" i="7" s="1"/>
  <c r="E8" i="7" a="1"/>
  <c r="E8" i="7" s="1"/>
  <c r="C20" i="7" a="1"/>
  <c r="C20" i="7" s="1"/>
  <c r="C19" i="7" a="1"/>
  <c r="C19" i="7" s="1"/>
  <c r="B21" i="7" a="1"/>
  <c r="B21" i="7" s="1"/>
  <c r="C22" i="7" a="1"/>
  <c r="C22" i="7" s="1"/>
  <c r="C21" i="7" a="1"/>
  <c r="C21" i="7" s="1"/>
  <c r="B22" i="7" a="1"/>
  <c r="B22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<sst xmlns="http://schemas.openxmlformats.org/spreadsheetml/2006/main" count="283" uniqueCount="153">
  <si>
    <t>ARTIST PROVIDED</t>
  </si>
  <si>
    <t>AMOUNT</t>
  </si>
  <si>
    <t>INVOICE NO.</t>
  </si>
  <si>
    <t>DATE</t>
  </si>
  <si>
    <t>SR. NO.</t>
  </si>
  <si>
    <t>PER DAY RATE</t>
  </si>
  <si>
    <t>PAYMENT MODE</t>
  </si>
  <si>
    <t>AMOUNT RECEIVED</t>
  </si>
  <si>
    <t>CASH</t>
  </si>
  <si>
    <t>UPI</t>
  </si>
  <si>
    <t>BANK TRANSFER</t>
  </si>
  <si>
    <t>CHEQUE</t>
  </si>
  <si>
    <t>OTHER</t>
  </si>
  <si>
    <t>AIMEE, ANYA</t>
  </si>
  <si>
    <t>AIMEE</t>
  </si>
  <si>
    <t>CO-ORDINATOR</t>
  </si>
  <si>
    <t>NILESH</t>
  </si>
  <si>
    <t>ASHISH</t>
  </si>
  <si>
    <t>MIHIR</t>
  </si>
  <si>
    <t>VICKY</t>
  </si>
  <si>
    <t>ANYA</t>
  </si>
  <si>
    <t>ISOBEL</t>
  </si>
  <si>
    <t>ROSANNA</t>
  </si>
  <si>
    <t>MILLICENT</t>
  </si>
  <si>
    <t>FREYA</t>
  </si>
  <si>
    <t>ROSIE</t>
  </si>
  <si>
    <t>CHARLOTTE</t>
  </si>
  <si>
    <t>MUFID</t>
  </si>
  <si>
    <t>SANDY</t>
  </si>
  <si>
    <t>WORK DAYS</t>
  </si>
  <si>
    <t>TOTAL ARTISTS</t>
  </si>
  <si>
    <t>LOCATION</t>
  </si>
  <si>
    <t>WORK TYPE</t>
  </si>
  <si>
    <t>SHOOT</t>
  </si>
  <si>
    <t>BIGBOSS</t>
  </si>
  <si>
    <t>SERIES</t>
  </si>
  <si>
    <t>MOVIE</t>
  </si>
  <si>
    <t>AD FILM</t>
  </si>
  <si>
    <t>REALITY SHOW</t>
  </si>
  <si>
    <t>MUSIC VIDEO</t>
  </si>
  <si>
    <t>DESCRIPTION</t>
  </si>
  <si>
    <t>BANGLORE</t>
  </si>
  <si>
    <t>DELHI</t>
  </si>
  <si>
    <t>MUMBAI</t>
  </si>
  <si>
    <t>GOA</t>
  </si>
  <si>
    <t>HYDERABAD</t>
  </si>
  <si>
    <t>PUNE</t>
  </si>
  <si>
    <t>KOLKATA</t>
  </si>
  <si>
    <t>ASHISH-1</t>
  </si>
  <si>
    <t>REHERSAL</t>
  </si>
  <si>
    <t>SHOW</t>
  </si>
  <si>
    <t>Row Labels</t>
  </si>
  <si>
    <t>Grand Total</t>
  </si>
  <si>
    <t>Sum of AMOUNT RECEIVED</t>
  </si>
  <si>
    <t>BALANCE</t>
  </si>
  <si>
    <t>RECEIVED</t>
  </si>
  <si>
    <t>STATUS</t>
  </si>
  <si>
    <t>(blank)</t>
  </si>
  <si>
    <t>CHENNAI</t>
  </si>
  <si>
    <t>SHOOT DATES</t>
  </si>
  <si>
    <t>01-11-2025 TO 02-11-2025</t>
  </si>
  <si>
    <t>AIMEE, ISOBEL, ANYA</t>
  </si>
  <si>
    <t>INV DATE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</si>
  <si>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</si>
  <si>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</si>
  <si>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</si>
  <si>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</si>
  <si>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</si>
  <si>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</si>
  <si>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</si>
  <si>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</si>
  <si>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</si>
  <si>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</si>
  <si>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</si>
  <si>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</si>
  <si>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MONTHS</t>
  </si>
  <si>
    <t>SELECT MONTH:</t>
  </si>
  <si>
    <t>ARTISTS</t>
  </si>
  <si>
    <t>VACATION DATES</t>
  </si>
  <si>
    <t>REASON</t>
  </si>
  <si>
    <t>01-11-2025 TO 08-11-2025</t>
  </si>
  <si>
    <t>SICK</t>
  </si>
  <si>
    <t>OUT</t>
  </si>
  <si>
    <t>HOME</t>
  </si>
  <si>
    <t>DATE\ARTIST</t>
  </si>
  <si>
    <t>YEAR</t>
  </si>
  <si>
    <t>SELECT YEAR:</t>
  </si>
  <si>
    <t>StartDate</t>
  </si>
  <si>
    <t>EndDate</t>
  </si>
  <si>
    <t>VacationStart</t>
  </si>
  <si>
    <t>VacationEnd</t>
  </si>
  <si>
    <t>15-11-2025 TO 16-11-2025</t>
  </si>
  <si>
    <t>AIMEE, ANYA, ISOBEL</t>
  </si>
  <si>
    <t>AIMEE, ROSANNA</t>
  </si>
  <si>
    <t>08-11-2025 TO 09-11-2025</t>
  </si>
  <si>
    <t>ISOBEL, ROSANNA</t>
  </si>
  <si>
    <t>AVAILABLE</t>
  </si>
  <si>
    <t>BOOKED</t>
  </si>
  <si>
    <t>VACATION</t>
  </si>
  <si>
    <t>02-11-2025 TO 03-11-2025</t>
  </si>
  <si>
    <t>CONFLICT = BOOKED + VACATION</t>
  </si>
  <si>
    <t>03-11-2025 TO 04-11-2025</t>
  </si>
  <si>
    <t>05-11-2025 TO 06-11-2025</t>
  </si>
  <si>
    <t>07-11-2025 TO 08-11-2025</t>
  </si>
  <si>
    <t>09-11-2025 TO 10-11-2025</t>
  </si>
  <si>
    <t>13-11-2025 TO 14-11-2025</t>
  </si>
  <si>
    <t>17-11-2025 TO 18-11-2025</t>
  </si>
  <si>
    <t>19-11-2025 TO 20-11-2025</t>
  </si>
  <si>
    <t>21-11-2025 TO 22-11-2025</t>
  </si>
  <si>
    <t>RECEIVED FROM</t>
  </si>
  <si>
    <t>ASHISH-2</t>
  </si>
  <si>
    <t>12-11-2025 TO 13-11-2025</t>
  </si>
  <si>
    <t>ASHISH-7</t>
  </si>
  <si>
    <t>ASHISH-4</t>
  </si>
  <si>
    <t>VICKY-2</t>
  </si>
  <si>
    <t>EXPENSE DESCRIPTION</t>
  </si>
  <si>
    <t>CATEGORY</t>
  </si>
  <si>
    <t>MODE</t>
  </si>
  <si>
    <t>AMOUNT OUT</t>
  </si>
  <si>
    <t>EXPENSE CATEGORY</t>
  </si>
  <si>
    <t>TOTAL EXPENSE</t>
  </si>
  <si>
    <t>PAID FOR ARTIST</t>
  </si>
  <si>
    <t>ARTIST PERSONAL</t>
  </si>
  <si>
    <t>CINE GPAY</t>
  </si>
  <si>
    <t>CINE KOTAK</t>
  </si>
  <si>
    <t>CINE AXIS</t>
  </si>
  <si>
    <t>AMOUNT IN (REIMBURSED)</t>
  </si>
  <si>
    <t>SHOOT EXPENSE</t>
  </si>
  <si>
    <t>FROM AIRPORT TO SHOOT</t>
  </si>
  <si>
    <t>ANYA, ISOBEL, ROSANNA</t>
  </si>
  <si>
    <t>ANYA, AIMEE</t>
  </si>
  <si>
    <t>TRAVEL / UBER</t>
  </si>
  <si>
    <t>ACCOMMODATION</t>
  </si>
  <si>
    <t>FOOD</t>
  </si>
  <si>
    <t>ARTIST PAYMENT</t>
  </si>
  <si>
    <t>RECHARGE / PHONE</t>
  </si>
  <si>
    <t>FLIGHTS</t>
  </si>
  <si>
    <t>OFFICE EXPENSE</t>
  </si>
  <si>
    <t>RENT</t>
  </si>
  <si>
    <t>VISA</t>
  </si>
  <si>
    <t>PAN / GOVT DOCS</t>
  </si>
  <si>
    <t>REHEARSAL</t>
  </si>
  <si>
    <t>MISC</t>
  </si>
  <si>
    <t>DEPOSIT</t>
  </si>
  <si>
    <t>RETURNABLE AMOUNTS</t>
  </si>
  <si>
    <t>SHOW/PROJECT EXPENSE</t>
  </si>
  <si>
    <t>ANYA, AIMEE, ISOBEL</t>
  </si>
  <si>
    <t>CO-ORDINATOR REPORTS</t>
  </si>
  <si>
    <t>INVOICED AMOUNT</t>
  </si>
  <si>
    <t>PAYMENT RECEIVED</t>
  </si>
  <si>
    <t>BALANCE PENDING</t>
  </si>
  <si>
    <t>Total Outstanding Receivable</t>
  </si>
  <si>
    <t>Total Outstanding Payable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</si>
</sst>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3" borderId="1" xfId="0" applyFill="1" applyBorder="1" applyAlignment="1">
      <alignment horizontal="center" vertical="center"/>
    </xf>
    <xf numFmtId="0" fontId="0" fillId="0" borderId="1" xfId="0" applyBorder="1"/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14" fontId="1" fillId="2" borderId="6" xfId="0" applyNumberFormat="1" applyFont="1" applyFill="1" applyBorder="1" applyAlignment="1">
      <alignment horizontal="center" vertical="center" wrapText="1"/>
    </xf>
    <xf numFmtId="14" fontId="1" fillId="2" borderId="7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3" borderId="4" xfId="0" applyNumberFormat="1" applyFill="1" applyBorder="1" applyAlignment="1">
      <alignment horizontal="center" vertical="center" wrapText="1"/>
    </xf>
    <xf numFmtId="14" fontId="0" fillId="3" borderId="9" xfId="0" applyNumberForma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4" fontId="0" fillId="3" borderId="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14" fontId="0" fillId="4" borderId="2" xfId="0" applyNumberForma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14" fontId="0" fillId="0" borderId="19" xfId="0" applyNumberForma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14" fontId="0" fillId="3" borderId="19" xfId="0" applyNumberForma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14" fontId="1" fillId="2" borderId="4" xfId="0" applyNumberFormat="1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14" fontId="0" fillId="0" borderId="0" xfId="0" applyNumberFormat="1" applyAlignment="1">
      <alignment horizontal="left"/>
    </xf>
    <xf numFmtId="0" fontId="1" fillId="0" borderId="0" xfId="0" applyFont="1"/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</cellXfs>
  <cellStyles count="1">
    <cellStyle name="Normal" xfId="0" builtinId="0"/>
  </cellStyles>
  <dxfs count="4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hiraj singh" refreshedDate="45990.699759722222" missingItemsLimit="1048576" createdVersion="8" refreshedVersion="8" minRefreshableVersion="3" recordCount="27" xr:uid="{02627AC0-BDDD-424D-A7A2-0E45D46C3D3A}">
  <cacheSource type="worksheet">
    <worksheetSource ref="A1:R28" sheet="SHOOTS"/>
  </cacheSource>
  <cacheFields count="18">
    <cacheField name="SR. NO." numFmtId="0">
      <sharedItems containsSemiMixedTypes="0" containsString="0" containsNumber="1" containsInteger="1" minValue="1" maxValue="27"/>
    </cacheField>
    <cacheField name="INV DATE" numFmtId="0">
      <sharedItems containsNonDate="0" containsDate="1" containsString="0" containsBlank="1" minDate="2025-11-24T00:00:00" maxDate="2025-12-23T00:00:00"/>
    </cacheField>
    <cacheField name="CO-ORDINATOR" numFmtId="0">
      <sharedItems containsBlank="1" count="7">
        <s v="ASHISH"/>
        <s v="MIHIR"/>
        <s v="MUFID"/>
        <s v="SANDY"/>
        <s v="VICKY"/>
        <s v="NILESH"/>
        <m/>
      </sharedItems>
    </cacheField>
    <cacheField name="INVOICE NO." numFmtId="0">
      <sharedItems containsBlank="1"/>
    </cacheField>
    <cacheField name="LOCATION" numFmtId="0">
      <sharedItems containsBlank="1"/>
    </cacheField>
    <cacheField name="WORK TYPE" numFmtId="0">
      <sharedItems containsBlank="1" count="4">
        <s v="REHERSAL"/>
        <s v="SHOOT"/>
        <s v="SHOW"/>
        <m/>
      </sharedItems>
    </cacheField>
    <cacheField name="DESCRIPTION" numFmtId="0">
      <sharedItems containsBlank="1"/>
    </cacheField>
    <cacheField name="SHOOT DATES" numFmtId="0">
      <sharedItems containsBlank="1" count="22">
        <s v="01-11-2025 TO 02-11-2025"/>
        <s v="03-11-2025 TO 04-11-2025"/>
        <s v="05-11-2025 TO 06-11-2025"/>
        <s v="07-11-2025 TO 08-11-2025"/>
        <s v="09-11-2025 TO 10-11-2025"/>
        <s v="13-11-2025 TO 14-11-2025"/>
        <s v="15-11-2025 TO 16-11-2025"/>
        <s v="17-11-2025 TO 18-11-2025"/>
        <s v="19-11-2025 TO 20-11-2025"/>
        <s v="21-11-2025 TO 22-11-2025"/>
        <s v="12-11-2025 TO 13-11-2025"/>
        <m/>
        <s v="22-11-2025 TO 24-11-2025" u="1"/>
        <s v="22-11-2025 TO 24-11-2026" u="1"/>
        <s v="22-11-2025 TO 24-11-2027" u="1"/>
        <s v="22-11-2025 TO 24-11-2028" u="1"/>
        <s v="22-11-2025 TO 24-11-2029" u="1"/>
        <s v="22-11-2025 TO 24-11-2030" u="1"/>
        <s v="22-11-2025 TO 24-11-2031" u="1"/>
        <s v="22-11-2025 TO 24-11-2032" u="1"/>
        <s v="22-11-2025 TO 24-11-2033" u="1"/>
        <s v="22-11-2025 TO 24-11-2034" u="1"/>
      </sharedItems>
    </cacheField>
    <cacheField name="ARTIST PROVIDED" numFmtId="0">
      <sharedItems containsBlank="1"/>
    </cacheField>
    <cacheField name="StartDate" numFmtId="14">
      <sharedItems containsNonDate="0" containsDate="1" containsString="0" containsBlank="1" minDate="2025-11-01T00:00:00" maxDate="2025-11-22T00:00:00"/>
    </cacheField>
    <cacheField name="EndDate" numFmtId="14">
      <sharedItems containsNonDate="0" containsDate="1" containsString="0" containsBlank="1" minDate="2025-11-02T00:00:00" maxDate="2025-11-23T00:00:00"/>
    </cacheField>
    <cacheField name="TOTAL ARTISTS" numFmtId="0">
      <sharedItems containsString="0" containsBlank="1" containsNumber="1" containsInteger="1" minValue="1" maxValue="3"/>
    </cacheField>
    <cacheField name="PER DAY RATE" numFmtId="0">
      <sharedItems containsString="0" containsBlank="1" containsNumber="1" containsInteger="1" minValue="2" maxValue="20000"/>
    </cacheField>
    <cacheField name="WORK DAYS" numFmtId="0">
      <sharedItems containsString="0" containsBlank="1" containsNumber="1" containsInteger="1" minValue="2" maxValue="2"/>
    </cacheField>
    <cacheField name="AMOUNT" numFmtId="0">
      <sharedItems containsString="0" containsBlank="1" containsNumber="1" containsInteger="1" minValue="4" maxValue="120000"/>
    </cacheField>
    <cacheField name="RECEIVED" numFmtId="0">
      <sharedItems containsString="0" containsBlank="1" containsNumber="1" containsInteger="1" minValue="0" maxValue="104000"/>
    </cacheField>
    <cacheField name="BALANCE" numFmtId="0">
      <sharedItems containsString="0" containsBlank="1" containsNumber="1" containsInteger="1" minValue="-24000" maxValue="120000"/>
    </cacheField>
    <cacheField name="STATU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hiraj singh" refreshedDate="45990.69975983796" createdVersion="8" refreshedVersion="8" minRefreshableVersion="3" recordCount="4" xr:uid="{489492A1-8DD2-4216-8CF3-2648F23AB7A3}">
  <cacheSource type="worksheet">
    <worksheetSource ref="B1:I5" sheet="PAYMENTS RECEIVED"/>
  </cacheSource>
  <cacheFields count="8">
    <cacheField name="DATE" numFmtId="14">
      <sharedItems containsSemiMixedTypes="0" containsNonDate="0" containsDate="1" containsString="0" minDate="2025-11-20T00:00:00" maxDate="2025-11-23T00:00:00" count="2">
        <d v="2025-11-20T00:00:00"/>
        <d v="2025-11-22T00:00:00"/>
      </sharedItems>
    </cacheField>
    <cacheField name="RECEIVED FROM" numFmtId="0">
      <sharedItems/>
    </cacheField>
    <cacheField name="INVOICE NO." numFmtId="0">
      <sharedItems/>
    </cacheField>
    <cacheField name="LOCATION" numFmtId="0">
      <sharedItems/>
    </cacheField>
    <cacheField name="WORK TYPE" numFmtId="0">
      <sharedItems/>
    </cacheField>
    <cacheField name="DESCRIPTION" numFmtId="0">
      <sharedItems/>
    </cacheField>
    <cacheField name="PAYMENT MODE" numFmtId="0">
      <sharedItems/>
    </cacheField>
    <cacheField name="AMOUNT RECEIVED" numFmtId="0">
      <sharedItems containsSemiMixedTypes="0" containsString="0" containsNumber="1" containsInteger="1" minValue="3000" maxValue="100000"/>
    </cacheField>
  </cacheFields>
  <extLst>
    <ext xmlns:x14="http://schemas.microsoft.com/office/spreadsheetml/2009/9/main" uri="{725AE2AE-9491-48be-B2B4-4EB974FC3084}">
      <x14:pivotCacheDefinition pivotCacheId="185504483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n v="1"/>
    <d v="2025-11-24T00:00:00"/>
    <x v="0"/>
    <s v="ASHISH-1"/>
    <s v="BANGLORE"/>
    <x v="0"/>
    <s v="BIGBOSS"/>
    <x v="0"/>
    <s v="ANYA, ISOBEL, ROSANNA"/>
    <d v="2025-11-01T00:00:00"/>
    <d v="2025-11-02T00:00:00"/>
    <n v="3"/>
    <n v="20000"/>
    <n v="2"/>
    <n v="120000"/>
    <n v="0"/>
    <n v="120000"/>
    <s v="PENDING"/>
  </r>
  <r>
    <n v="2"/>
    <d v="2025-11-24T00:00:00"/>
    <x v="0"/>
    <s v="ASHISH-2"/>
    <s v="DELHI"/>
    <x v="1"/>
    <s v="BIGBOSS"/>
    <x v="1"/>
    <s v="ISOBEL, ROSANNA"/>
    <d v="2025-11-03T00:00:00"/>
    <d v="2025-11-04T00:00:00"/>
    <n v="2"/>
    <n v="20000"/>
    <n v="2"/>
    <n v="80000"/>
    <n v="104000"/>
    <n v="-24000"/>
    <s v="ADVANCE PAYMENT"/>
  </r>
  <r>
    <n v="3"/>
    <d v="2025-11-26T00:00:00"/>
    <x v="1"/>
    <s v="MIHIR-1"/>
    <s v="MUMBAI"/>
    <x v="2"/>
    <s v="BIGBOSS"/>
    <x v="2"/>
    <s v="AIMEE, ISOBEL, ANYA"/>
    <d v="2025-11-05T00:00:00"/>
    <d v="2025-11-06T00:00:00"/>
    <n v="3"/>
    <n v="20000"/>
    <n v="2"/>
    <n v="120000"/>
    <n v="0"/>
    <n v="120000"/>
    <s v="PENDING"/>
  </r>
  <r>
    <n v="4"/>
    <d v="2025-11-28T00:00:00"/>
    <x v="2"/>
    <s v="MUFID-1"/>
    <s v="DELHI"/>
    <x v="1"/>
    <s v="BIGBOSS"/>
    <x v="3"/>
    <s v="AIMEE, ANYA, ISOBEL"/>
    <d v="2025-11-07T00:00:00"/>
    <d v="2025-11-08T00:00:00"/>
    <n v="3"/>
    <n v="20000"/>
    <n v="2"/>
    <n v="120000"/>
    <n v="0"/>
    <n v="120000"/>
    <s v="PENDING"/>
  </r>
  <r>
    <n v="5"/>
    <d v="2025-11-30T00:00:00"/>
    <x v="2"/>
    <s v="MUFID-2"/>
    <s v="MUMBAI"/>
    <x v="1"/>
    <s v="BIGBOSS"/>
    <x v="4"/>
    <s v="AIMEE"/>
    <d v="2025-11-09T00:00:00"/>
    <d v="2025-11-10T00:00:00"/>
    <n v="1"/>
    <n v="20000"/>
    <n v="2"/>
    <n v="40000"/>
    <n v="0"/>
    <n v="40000"/>
    <s v="PENDING"/>
  </r>
  <r>
    <n v="6"/>
    <d v="2025-12-02T00:00:00"/>
    <x v="3"/>
    <s v="SANDY-1"/>
    <s v="GOA"/>
    <x v="1"/>
    <s v="SERIES"/>
    <x v="5"/>
    <s v="AIMEE, ANYA"/>
    <d v="2025-11-13T00:00:00"/>
    <d v="2025-11-14T00:00:00"/>
    <n v="2"/>
    <n v="20000"/>
    <n v="2"/>
    <n v="80000"/>
    <n v="0"/>
    <n v="80000"/>
    <s v="PENDING"/>
  </r>
  <r>
    <n v="7"/>
    <d v="2025-12-04T00:00:00"/>
    <x v="4"/>
    <s v="VICKY-1"/>
    <s v="HYDERABAD"/>
    <x v="1"/>
    <s v="MOVIE"/>
    <x v="6"/>
    <s v="ANYA, AIMEE"/>
    <d v="2025-11-15T00:00:00"/>
    <d v="2025-11-16T00:00:00"/>
    <n v="2"/>
    <n v="20000"/>
    <n v="2"/>
    <n v="80000"/>
    <n v="0"/>
    <n v="80000"/>
    <s v="PENDING"/>
  </r>
  <r>
    <n v="8"/>
    <d v="2025-12-06T00:00:00"/>
    <x v="0"/>
    <s v="ASHISH-3"/>
    <s v="CHENNAI"/>
    <x v="1"/>
    <s v="AD FILM"/>
    <x v="7"/>
    <s v="AIMEE, ANYA"/>
    <d v="2025-11-17T00:00:00"/>
    <d v="2025-11-18T00:00:00"/>
    <n v="2"/>
    <n v="20000"/>
    <n v="2"/>
    <n v="80000"/>
    <n v="0"/>
    <n v="80000"/>
    <s v="PENDING"/>
  </r>
  <r>
    <n v="9"/>
    <d v="2025-12-08T00:00:00"/>
    <x v="5"/>
    <s v="NILESH-1"/>
    <s v="PUNE"/>
    <x v="1"/>
    <s v="REALITY SHOW"/>
    <x v="8"/>
    <s v="AIMEE, ROSANNA"/>
    <d v="2025-11-19T00:00:00"/>
    <d v="2025-11-20T00:00:00"/>
    <n v="2"/>
    <n v="20000"/>
    <n v="2"/>
    <n v="80000"/>
    <n v="0"/>
    <n v="80000"/>
    <s v="PENDING"/>
  </r>
  <r>
    <n v="10"/>
    <d v="2025-12-10T00:00:00"/>
    <x v="0"/>
    <s v="ASHISH-4"/>
    <s v="KOLKATA"/>
    <x v="1"/>
    <s v="MUSIC VIDEO"/>
    <x v="9"/>
    <s v="AIMEE, ANYA"/>
    <d v="2025-11-21T00:00:00"/>
    <d v="2025-11-22T00:00:00"/>
    <n v="2"/>
    <n v="20000"/>
    <n v="2"/>
    <n v="80000"/>
    <n v="0"/>
    <n v="80000"/>
    <s v="PENDING"/>
  </r>
  <r>
    <n v="11"/>
    <d v="2025-12-12T00:00:00"/>
    <x v="5"/>
    <s v="NILESH-2"/>
    <s v="KOLKATA"/>
    <x v="0"/>
    <s v="REALITY SHOW"/>
    <x v="0"/>
    <s v="ROSANNA"/>
    <d v="2025-11-01T00:00:00"/>
    <d v="2025-11-02T00:00:00"/>
    <n v="1"/>
    <n v="10000"/>
    <n v="2"/>
    <n v="20000"/>
    <n v="0"/>
    <n v="20000"/>
    <s v="PENDING"/>
  </r>
  <r>
    <n v="12"/>
    <d v="2025-12-22T00:00:00"/>
    <x v="4"/>
    <s v="VICKY-2"/>
    <s v="PUNE"/>
    <x v="1"/>
    <s v="AD FILM"/>
    <x v="10"/>
    <s v="CHARLOTTE"/>
    <d v="2025-11-12T00:00:00"/>
    <d v="2025-11-13T00:00:00"/>
    <n v="1"/>
    <n v="1111"/>
    <n v="2"/>
    <n v="2222"/>
    <n v="0"/>
    <n v="2222"/>
    <s v="PENDING"/>
  </r>
  <r>
    <n v="13"/>
    <d v="2025-12-13T00:00:00"/>
    <x v="0"/>
    <s v="ASHISH-5"/>
    <s v="KOLKATA"/>
    <x v="0"/>
    <s v="REALITY SHOW"/>
    <x v="0"/>
    <s v="ROSANNA"/>
    <d v="2025-11-01T00:00:00"/>
    <d v="2025-11-02T00:00:00"/>
    <n v="1"/>
    <n v="10000"/>
    <n v="2"/>
    <n v="20000"/>
    <n v="0"/>
    <n v="20000"/>
    <s v="PENDING"/>
  </r>
  <r>
    <n v="14"/>
    <d v="2025-12-14T00:00:00"/>
    <x v="5"/>
    <s v="NILESH-3"/>
    <s v="KOLKATA"/>
    <x v="0"/>
    <s v="REALITY SHOW"/>
    <x v="10"/>
    <s v="MILLICENT"/>
    <d v="2025-11-12T00:00:00"/>
    <d v="2025-11-13T00:00:00"/>
    <n v="1"/>
    <n v="2"/>
    <n v="2"/>
    <n v="4"/>
    <n v="0"/>
    <n v="4"/>
    <s v="PENDING"/>
  </r>
  <r>
    <n v="15"/>
    <m/>
    <x v="6"/>
    <m/>
    <m/>
    <x v="3"/>
    <m/>
    <x v="11"/>
    <m/>
    <m/>
    <m/>
    <m/>
    <m/>
    <m/>
    <m/>
    <m/>
    <m/>
    <m/>
  </r>
  <r>
    <n v="16"/>
    <m/>
    <x v="6"/>
    <m/>
    <m/>
    <x v="3"/>
    <m/>
    <x v="11"/>
    <m/>
    <m/>
    <m/>
    <m/>
    <m/>
    <m/>
    <m/>
    <m/>
    <m/>
    <m/>
  </r>
  <r>
    <n v="17"/>
    <m/>
    <x v="6"/>
    <m/>
    <m/>
    <x v="3"/>
    <m/>
    <x v="11"/>
    <m/>
    <m/>
    <m/>
    <m/>
    <m/>
    <m/>
    <m/>
    <m/>
    <m/>
    <m/>
  </r>
  <r>
    <n v="18"/>
    <m/>
    <x v="6"/>
    <m/>
    <m/>
    <x v="3"/>
    <m/>
    <x v="11"/>
    <m/>
    <m/>
    <m/>
    <m/>
    <m/>
    <m/>
    <m/>
    <m/>
    <m/>
    <m/>
  </r>
  <r>
    <n v="19"/>
    <m/>
    <x v="6"/>
    <m/>
    <m/>
    <x v="3"/>
    <m/>
    <x v="11"/>
    <m/>
    <m/>
    <m/>
    <m/>
    <m/>
    <m/>
    <m/>
    <m/>
    <m/>
    <m/>
  </r>
  <r>
    <n v="20"/>
    <m/>
    <x v="6"/>
    <m/>
    <m/>
    <x v="3"/>
    <m/>
    <x v="11"/>
    <m/>
    <m/>
    <m/>
    <m/>
    <m/>
    <m/>
    <m/>
    <m/>
    <m/>
    <m/>
  </r>
  <r>
    <n v="21"/>
    <m/>
    <x v="6"/>
    <m/>
    <m/>
    <x v="3"/>
    <m/>
    <x v="11"/>
    <m/>
    <m/>
    <m/>
    <m/>
    <m/>
    <m/>
    <m/>
    <m/>
    <m/>
    <m/>
  </r>
  <r>
    <n v="22"/>
    <m/>
    <x v="6"/>
    <m/>
    <m/>
    <x v="3"/>
    <m/>
    <x v="11"/>
    <m/>
    <m/>
    <m/>
    <m/>
    <m/>
    <m/>
    <m/>
    <m/>
    <m/>
    <m/>
  </r>
  <r>
    <n v="23"/>
    <m/>
    <x v="6"/>
    <m/>
    <m/>
    <x v="3"/>
    <m/>
    <x v="11"/>
    <m/>
    <m/>
    <m/>
    <m/>
    <m/>
    <m/>
    <m/>
    <m/>
    <m/>
    <m/>
  </r>
  <r>
    <n v="24"/>
    <m/>
    <x v="6"/>
    <m/>
    <m/>
    <x v="3"/>
    <m/>
    <x v="11"/>
    <m/>
    <m/>
    <m/>
    <m/>
    <m/>
    <m/>
    <m/>
    <m/>
    <m/>
    <m/>
  </r>
  <r>
    <n v="25"/>
    <m/>
    <x v="6"/>
    <m/>
    <m/>
    <x v="3"/>
    <m/>
    <x v="11"/>
    <m/>
    <m/>
    <m/>
    <m/>
    <m/>
    <m/>
    <m/>
    <m/>
    <m/>
    <m/>
  </r>
  <r>
    <n v="26"/>
    <m/>
    <x v="6"/>
    <m/>
    <m/>
    <x v="3"/>
    <m/>
    <x v="11"/>
    <m/>
    <m/>
    <m/>
    <m/>
    <m/>
    <m/>
    <m/>
    <m/>
    <m/>
    <m/>
  </r>
  <r>
    <n v="27"/>
    <m/>
    <x v="6"/>
    <m/>
    <m/>
    <x v="3"/>
    <m/>
    <x v="11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s v="NILESH"/>
    <s v="ASHISH-4"/>
    <s v="KOLKATA"/>
    <s v="SHOOT"/>
    <s v="MUSIC VIDEO"/>
    <s v="CASH"/>
    <n v="40000"/>
  </r>
  <r>
    <x v="0"/>
    <s v="ASHISH"/>
    <s v="ASHISH-2"/>
    <s v="DELHI"/>
    <s v="SHOOT"/>
    <s v="BIGBOSS"/>
    <s v="CASH"/>
    <n v="4000"/>
  </r>
  <r>
    <x v="1"/>
    <s v="ASHISH"/>
    <s v="ASHISH-2"/>
    <s v="DELHI"/>
    <s v="SHOOT"/>
    <s v="BIGBOSS"/>
    <s v="UPI"/>
    <n v="100000"/>
  </r>
  <r>
    <x v="0"/>
    <s v="ASHISH"/>
    <s v="ASHISH-7"/>
    <s v=""/>
    <s v=""/>
    <s v=""/>
    <s v="CASH"/>
    <n v="3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C0247D-F2D6-44A3-B2FA-4C1CA854490A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O-ORDINATOR REPORTS">
  <location ref="A4:D35" firstHeaderRow="0" firstDataRow="1" firstDataCol="1"/>
  <pivotFields count="18">
    <pivotField showAll="0"/>
    <pivotField showAll="0"/>
    <pivotField axis="axisRow" showAll="0">
      <items count="8">
        <item x="0"/>
        <item x="5"/>
        <item x="4"/>
        <item x="6"/>
        <item x="1"/>
        <item x="2"/>
        <item x="3"/>
        <item t="default"/>
      </items>
    </pivotField>
    <pivotField showAll="0"/>
    <pivotField showAll="0"/>
    <pivotField axis="axisRow" showAll="0">
      <items count="5">
        <item x="1"/>
        <item x="3"/>
        <item x="0"/>
        <item x="2"/>
        <item t="default"/>
      </items>
    </pivotField>
    <pivotField showAll="0"/>
    <pivotField axis="axisRow" showAll="0">
      <items count="23"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</pivotFields>
  <rowFields count="3">
    <field x="2"/>
    <field x="5"/>
    <field x="7"/>
  </rowFields>
  <rowItems count="31">
    <i>
      <x/>
    </i>
    <i r="1">
      <x/>
    </i>
    <i r="2">
      <x v="12"/>
    </i>
    <i r="2">
      <x v="18"/>
    </i>
    <i r="2">
      <x v="20"/>
    </i>
    <i r="1">
      <x v="2"/>
    </i>
    <i r="2">
      <x v="11"/>
    </i>
    <i>
      <x v="1"/>
    </i>
    <i r="1">
      <x/>
    </i>
    <i r="2">
      <x v="19"/>
    </i>
    <i r="1">
      <x v="2"/>
    </i>
    <i r="2">
      <x v="11"/>
    </i>
    <i r="2">
      <x v="21"/>
    </i>
    <i>
      <x v="2"/>
    </i>
    <i r="1">
      <x/>
    </i>
    <i r="2">
      <x v="17"/>
    </i>
    <i r="2">
      <x v="21"/>
    </i>
    <i>
      <x v="3"/>
    </i>
    <i r="1">
      <x v="1"/>
    </i>
    <i r="2">
      <x v="10"/>
    </i>
    <i>
      <x v="4"/>
    </i>
    <i r="1">
      <x v="3"/>
    </i>
    <i r="2">
      <x v="13"/>
    </i>
    <i>
      <x v="5"/>
    </i>
    <i r="1">
      <x/>
    </i>
    <i r="2">
      <x v="14"/>
    </i>
    <i r="2">
      <x v="15"/>
    </i>
    <i>
      <x v="6"/>
    </i>
    <i r="1">
      <x/>
    </i>
    <i r="2"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VOICED AMOUNT" fld="14" baseField="2" baseItem="0"/>
    <dataField name="PAYMENT RECEIVED" fld="15" baseField="2" baseItem="0"/>
    <dataField name="BALANCE PENDING" fld="16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FDC103-C2D5-4F89-A6A4-D55547260ED2}" name="PivotTable1" cacheId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A3:B6" firstHeaderRow="1" firstDataRow="1" firstDataCol="1"/>
  <pivotFields count="8">
    <pivotField axis="axisRow" numFmtId="14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um of AMOUNT RECEIVED" fld="7" baseField="0" baseItem="0"/>
  </dataFields>
  <pivotTableStyleInfo name="PivotStyleLight16" showRowHeaders="1" showColHeaders="1" showRowStripes="0" showColStripes="0" showLastColumn="1"/>
  <filters count="1">
    <filter fld="0" type="dateBetween" evalOrder="-1" id="14" name="DATE">
      <autoFilter ref="A1">
        <filterColumn colId="0">
          <customFilters and="1">
            <customFilter operator="greaterThanOrEqual" val="45962"/>
            <customFilter operator="lessThanOrEqual" val="4599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BADE8E-219F-41B0-B168-9C191F260D2A}" name="Table5" displayName="Table5" ref="A1:S15" totalsRowShown="0" headerRowDxfId="37" dataDxfId="35" headerRowBorderDxfId="36" tableBorderDxfId="34" totalsRowBorderDxfId="33">
  <autoFilter ref="A1:S15" xr:uid="{EDBADE8E-219F-41B0-B168-9C191F260D2A}"/>
  <tableColumns count="19">
    <tableColumn id="1" xr3:uid="{FDD4A30E-75B0-4033-822D-75009A869AC3}" name="SR. NO." dataDxfId="32">
      <calculatedColumnFormula>ROW()-1</calculatedColumnFormula>
    </tableColumn>
    <tableColumn id="2" xr3:uid="{C3F130CB-E136-4BA8-9EA3-D0E8912FA050}" name="INV DATE" dataDxfId="31"/>
    <tableColumn id="3" xr3:uid="{7B56CDD7-E977-4CF5-9E2C-81D745BECC83}" name="CO-ORDINATOR" dataDxfId="30"/>
    <tableColumn id="4" xr3:uid="{5F8B1B43-8A5B-4CCE-B205-9DCA10C88B68}" name="INVOICE NO." dataDxfId="29">
      <calculatedColumnFormula>C2 &amp; "-" &amp; COUNTIF($C$2:C2, C2)</calculatedColumnFormula>
    </tableColumn>
    <tableColumn id="5" xr3:uid="{DCC390F9-4C41-405D-B003-D757514CDA80}" name="LOCATION" dataDxfId="28"/>
    <tableColumn id="6" xr3:uid="{F4AF984A-9DEC-4F83-B643-903EB542928F}" name="WORK TYPE" dataDxfId="27"/>
    <tableColumn id="7" xr3:uid="{8DD8ACD5-FCC6-4AE2-9AF0-565007FCD71E}" name="DESCRIPTION" dataDxfId="26"/>
    <tableColumn id="8" xr3:uid="{E94DF404-0A19-4A20-B6DA-01C3F0B68D6F}" name="SHOOT DATES" dataDxfId="25"/>
    <tableColumn id="9" xr3:uid="{F2E7F20E-9CB9-4B5E-89DE-0919CF928DB5}" name="ARTIST PROVIDED" dataDxfId="24"/>
    <tableColumn id="10" xr3:uid="{42E9008B-9868-49AC-910A-B9A7D1F0CB8B}" name="StartDate" dataDxfId="23">
      <calculatedColumnFormula>--LEFT($H2,10)</calculatedColumnFormula>
    </tableColumn>
    <tableColumn id="11" xr3:uid="{618E12B7-504C-41D2-9EEE-04D5CAC065F4}" name="EndDate" dataDxfId="22">
      <calculatedColumnFormula>--RIGHT($H2,10)</calculatedColumnFormula>
    </tableColumn>
    <tableColumn id="12" xr3:uid="{D5B2AE0F-D2A4-4A51-84D9-361D82850260}" name="TOTAL ARTISTS" dataDxfId="21">
      <calculatedColumnFormula>IF(I2="",0,LEN(I2)-LEN(SUBSTITUTE(I2,",",""))+1)</calculatedColumnFormula>
    </tableColumn>
    <tableColumn id="13" xr3:uid="{B6B5C2FF-B9A1-48C3-9965-EDDF37EB626A}" name="PER DAY RATE" dataDxfId="20"/>
    <tableColumn id="14" xr3:uid="{19E7CC7F-F948-4C12-96A7-D0D36507CAC4}" name="WORK DAYS" dataDxfId="19">
      <calculatedColumnFormula>IF(H2="","",DATEDIF(DATEVALUE(LEFT(H2,10)),DATEVALUE(RIGHT(H2,10)),"D") + 1)</calculatedColumnFormula>
    </tableColumn>
    <tableColumn id="15" xr3:uid="{1D2006A9-4756-4B2B-886C-FEA5A69DE557}" name="AMOUNT" dataDxfId="18">
      <calculatedColumnFormula>N2*M2*L2</calculatedColumnFormula>
    </tableColumn>
    <tableColumn id="16" xr3:uid="{477B42FB-1AFA-4C52-AB63-DCFB43353486}" name="RECEIVED" dataDxfId="17">
      <calculatedColumnFormula>SUMIFS('PAYMENTS RECEIVED'!$I:$I,'PAYMENTS RECEIVED'!$C:$C, $C2,'PAYMENTS RECEIVED'!$D:$D, $D2)</calculatedColumnFormula>
    </tableColumn>
    <tableColumn id="17" xr3:uid="{ABE759D6-51FD-4D44-8CAC-B8219656BABF}" name="BALANCE" dataDxfId="16">
      <calculatedColumnFormula>SUM(O2-P2)</calculatedColumnFormula>
    </tableColumn>
    <tableColumn id="18" xr3:uid="{80831772-B624-4B56-85A6-14D77D428C5F}" name="STATUS" dataDxfId="15">
      <calculatedColumnFormula>IF(O2-P2&gt;0,"PENDING", IF(O2-P2=0,"FULL PAYMENT RECEIVED","ADVANCE PAYMENT"))</calculatedColumnFormula>
    </tableColumn>
    <tableColumn id="19" xr3:uid="{CF30EC0C-70B9-48D8-B0FB-1876CC39A97C}" name="TOTAL EXPENSE" dataDxfId="14">
      <calculatedColumnFormula>IF(D2="","", SUMIF(EXPENSE!$G:$G, D2, EXPENSE!$J:$J))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A8AB-27FC-40CF-AA93-D5818503EACE}">
  <sheetPr codeName="Sheet2"/>
  <dimension ref="A1:S28"/>
  <sheetViews>
    <sheetView topLeftCell="B1" workbookViewId="0">
      <selection activeCell="C7" sqref="C7"/>
    </sheetView>
  </sheetViews>
  <sheetFormatPr defaultRowHeight="14.4" x14ac:dyDescent="0.3"/>
  <cols>
    <col min="1" max="1" width="9.5546875" style="22" bestFit="1" customWidth="1"/>
    <col min="2" max="2" width="11.21875" style="22" bestFit="1" customWidth="1"/>
    <col min="3" max="3" width="16.6640625" style="22" bestFit="1" customWidth="1"/>
    <col min="4" max="4" width="14" style="37" bestFit="1" customWidth="1"/>
    <col min="5" max="5" width="12" style="22" bestFit="1" customWidth="1"/>
    <col min="6" max="6" width="13.109375" style="22" bestFit="1" customWidth="1"/>
    <col min="7" max="7" width="14.5546875" style="22" bestFit="1" customWidth="1"/>
    <col min="8" max="8" width="15" style="22" bestFit="1" customWidth="1"/>
    <col min="9" max="9" width="18.6640625" style="22" bestFit="1" customWidth="1"/>
    <col min="10" max="10" width="10.77734375" style="24" hidden="1" customWidth="1"/>
    <col min="11" max="11" width="3" style="24" hidden="1" customWidth="1"/>
    <col min="12" max="12" width="15.6640625" style="37" customWidth="1"/>
    <col min="13" max="13" width="15.109375" style="22" bestFit="1" customWidth="1"/>
    <col min="14" max="14" width="13.44140625" style="37" bestFit="1" customWidth="1"/>
    <col min="15" max="15" width="11.21875" style="37" bestFit="1" customWidth="1"/>
    <col min="16" max="16" width="11.44140625" style="37" bestFit="1" customWidth="1"/>
    <col min="17" max="17" width="11.109375" style="22" bestFit="1" customWidth="1"/>
    <col min="18" max="18" width="22.44140625" style="22" bestFit="1" customWidth="1"/>
    <col min="19" max="19" width="13" style="37" bestFit="1" customWidth="1"/>
    <col min="20" max="16384" width="8.88671875" style="22"/>
  </cols>
  <sheetData>
    <row r="1" spans="1:19" s="36" customFormat="1" ht="37.200000000000003" customHeight="1" x14ac:dyDescent="0.3">
      <c r="A1" s="56" t="s">
        <v>4</v>
      </c>
      <c r="B1" s="57" t="s">
        <v>62</v>
      </c>
      <c r="C1" s="57" t="s">
        <v>15</v>
      </c>
      <c r="D1" s="57" t="s">
        <v>2</v>
      </c>
      <c r="E1" s="57" t="s">
        <v>31</v>
      </c>
      <c r="F1" s="57" t="s">
        <v>32</v>
      </c>
      <c r="G1" s="57" t="s">
        <v>40</v>
      </c>
      <c r="H1" s="57" t="s">
        <v>59</v>
      </c>
      <c r="I1" s="57" t="s">
        <v>0</v>
      </c>
      <c r="J1" s="58" t="s">
        <v>87</v>
      </c>
      <c r="K1" s="58" t="s">
        <v>88</v>
      </c>
      <c r="L1" s="57" t="s">
        <v>30</v>
      </c>
      <c r="M1" s="57" t="s">
        <v>5</v>
      </c>
      <c r="N1" s="57" t="s">
        <v>29</v>
      </c>
      <c r="O1" s="57" t="s">
        <v>1</v>
      </c>
      <c r="P1" s="57" t="s">
        <v>55</v>
      </c>
      <c r="Q1" s="57" t="s">
        <v>54</v>
      </c>
      <c r="R1" s="59" t="s">
        <v>56</v>
      </c>
      <c r="S1" s="57" t="s">
        <v>120</v>
      </c>
    </row>
    <row r="2" spans="1:19" ht="28.8" x14ac:dyDescent="0.3">
      <c r="A2" s="38">
        <f>ROW()-1</f>
        <v>1</v>
      </c>
      <c r="B2" s="23">
        <v>45985</v>
      </c>
      <c r="C2" s="22" t="s">
        <v>17</v>
      </c>
      <c r="D2" s="37" t="str">
        <f>C2 &amp; "-" &amp; COUNTIF($C$2:C2, C2)</f>
        <v>ASHISH-1</v>
      </c>
      <c r="E2" s="22" t="s">
        <v>41</v>
      </c>
      <c r="F2" s="22" t="s">
        <v>49</v>
      </c>
      <c r="G2" s="22" t="s">
        <v>34</v>
      </c>
      <c r="H2" s="22" t="s">
        <v>60</v>
      </c>
      <c r="I2" s="22" t="s">
        <v>129</v>
      </c>
      <c r="J2" s="24">
        <f>--LEFT($H2,10)</f>
        <v>45962</v>
      </c>
      <c r="K2" s="24">
        <f>--RIGHT($H2,10)</f>
        <v>45963</v>
      </c>
      <c r="L2" s="37">
        <f>IF(I2="",0,LEN(I2)-LEN(SUBSTITUTE(I2,",",""))+1)</f>
        <v>3</v>
      </c>
      <c r="M2" s="22">
        <v>20000</v>
      </c>
      <c r="N2" s="37">
        <f>IF(H2="","",DATEDIF(DATEVALUE(LEFT(H2,10)),DATEVALUE(RIGHT(H2,10)),"D") + 1)</f>
        <v>2</v>
      </c>
      <c r="O2" s="37">
        <f>N2*M2*L2</f>
        <v>120000</v>
      </c>
      <c r="P2" s="37">
        <f>SUMIFS('PAYMENTS RECEIVED'!$I:$I,'PAYMENTS RECEIVED'!$C:$C, $C2,'PAYMENTS RECEIVED'!$D:$D, $D2)</f>
        <v>0</v>
      </c>
      <c r="Q2" s="22">
        <f>SUM(O2-P2)</f>
        <v>120000</v>
      </c>
      <c r="R2" s="49" t="str">
        <f>IF(O2-P2&gt;0,"PENDING", IF(O2-P2=0,"FULL PAYMENT RECEIVED","ADVANCE PAYMENT"))</f>
        <v>PENDING</v>
      </c>
      <c r="S2" s="60">
        <f>IF(D2="","", SUMIF(EXPENSE!$G:$G, D2, EXPENSE!$J:$J))</f>
        <v>498</v>
      </c>
    </row>
    <row r="3" spans="1:19" ht="28.8" x14ac:dyDescent="0.3">
      <c r="A3" s="38">
        <f>ROW()-1</f>
        <v>2</v>
      </c>
      <c r="B3" s="23">
        <v>45985</v>
      </c>
      <c r="C3" s="22" t="s">
        <v>17</v>
      </c>
      <c r="D3" s="37" t="str">
        <f>C3 &amp; "-" &amp; COUNTIF($C$2:C3, C3)</f>
        <v>ASHISH-2</v>
      </c>
      <c r="E3" s="22" t="s">
        <v>42</v>
      </c>
      <c r="F3" s="22" t="s">
        <v>33</v>
      </c>
      <c r="G3" s="22" t="s">
        <v>34</v>
      </c>
      <c r="H3" s="22" t="s">
        <v>101</v>
      </c>
      <c r="I3" s="22" t="s">
        <v>95</v>
      </c>
      <c r="J3" s="24">
        <f t="shared" ref="J3:J11" si="0">--LEFT($H3,10)</f>
        <v>45964</v>
      </c>
      <c r="K3" s="24">
        <f t="shared" ref="K3:K11" si="1">--RIGHT($H3,10)</f>
        <v>45965</v>
      </c>
      <c r="L3" s="37">
        <f t="shared" ref="L3:L11" si="2">IF(I3="",0,LEN(I3)-LEN(SUBSTITUTE(I3,",",""))+1)</f>
        <v>2</v>
      </c>
      <c r="M3" s="22">
        <v>20000</v>
      </c>
      <c r="N3" s="37">
        <f t="shared" ref="N3:N11" si="3">IF(H3="","",DATEDIF(DATEVALUE(LEFT(H3,10)),DATEVALUE(RIGHT(H3,10)),"D") + 1)</f>
        <v>2</v>
      </c>
      <c r="O3" s="37">
        <f t="shared" ref="O3:O11" si="4">N3*M3*L3</f>
        <v>80000</v>
      </c>
      <c r="P3" s="37">
        <f>SUMIFS('PAYMENTS RECEIVED'!$I:$I,'PAYMENTS RECEIVED'!$C:$C, $C3,'PAYMENTS RECEIVED'!$D:$D, $D3)</f>
        <v>104000</v>
      </c>
      <c r="Q3" s="22">
        <f>SUM(O3-P3)</f>
        <v>-24000</v>
      </c>
      <c r="R3" s="49" t="str">
        <f>IF(O3-P3&gt;0,"PENDING", IF(O3-P3=0,"FULL PAYMENT RECEIVED","ADVANCE PAYMENT"))</f>
        <v>ADVANCE PAYMENT</v>
      </c>
      <c r="S3" s="60">
        <f>IF(D3="","", SUMIF(EXPENSE!$G:$G, D3, EXPENSE!$J:$J))</f>
        <v>0</v>
      </c>
    </row>
    <row r="4" spans="1:19" ht="28.8" x14ac:dyDescent="0.3">
      <c r="A4" s="38">
        <f t="shared" ref="A4:A28" si="5">ROW()-1</f>
        <v>3</v>
      </c>
      <c r="B4" s="23">
        <v>45987</v>
      </c>
      <c r="C4" s="22" t="s">
        <v>18</v>
      </c>
      <c r="D4" s="37" t="str">
        <f>C4 &amp; "-" &amp; COUNTIF($C$2:C4, C4)</f>
        <v>MIHIR-1</v>
      </c>
      <c r="E4" s="22" t="s">
        <v>43</v>
      </c>
      <c r="F4" s="22" t="s">
        <v>50</v>
      </c>
      <c r="G4" s="22" t="s">
        <v>34</v>
      </c>
      <c r="H4" s="22" t="s">
        <v>102</v>
      </c>
      <c r="I4" s="22" t="s">
        <v>61</v>
      </c>
      <c r="J4" s="24">
        <f t="shared" si="0"/>
        <v>45966</v>
      </c>
      <c r="K4" s="24">
        <f t="shared" si="1"/>
        <v>45967</v>
      </c>
      <c r="L4" s="37">
        <f t="shared" si="2"/>
        <v>3</v>
      </c>
      <c r="M4" s="22">
        <v>20000</v>
      </c>
      <c r="N4" s="37">
        <f t="shared" si="3"/>
        <v>2</v>
      </c>
      <c r="O4" s="37">
        <f t="shared" si="4"/>
        <v>120000</v>
      </c>
      <c r="P4" s="37">
        <f>SUMIFS('PAYMENTS RECEIVED'!$I:$I,'PAYMENTS RECEIVED'!$C:$C, $C4,'PAYMENTS RECEIVED'!$D:$D, $D4)</f>
        <v>0</v>
      </c>
      <c r="Q4" s="22">
        <f>SUM(O4-P4)</f>
        <v>120000</v>
      </c>
      <c r="R4" s="49" t="str">
        <f>IF(O4-P4&gt;0,"PENDING", IF(O4-P4=0,"FULL PAYMENT RECEIVED","ADVANCE PAYMENT"))</f>
        <v>PENDING</v>
      </c>
      <c r="S4" s="60">
        <f>IF(D4="","", SUMIF(EXPENSE!$G:$G, D4, EXPENSE!$J:$J))</f>
        <v>0</v>
      </c>
    </row>
    <row r="5" spans="1:19" ht="28.8" x14ac:dyDescent="0.3">
      <c r="A5" s="38">
        <f t="shared" si="5"/>
        <v>4</v>
      </c>
      <c r="B5" s="23">
        <v>45989</v>
      </c>
      <c r="C5" s="22" t="s">
        <v>27</v>
      </c>
      <c r="D5" s="37" t="str">
        <f>C5 &amp; "-" &amp; COUNTIF($C$2:C5, C5)</f>
        <v>MUFID-1</v>
      </c>
      <c r="E5" s="22" t="s">
        <v>42</v>
      </c>
      <c r="F5" s="22" t="s">
        <v>33</v>
      </c>
      <c r="G5" s="22" t="s">
        <v>34</v>
      </c>
      <c r="H5" s="22" t="s">
        <v>103</v>
      </c>
      <c r="I5" s="22" t="s">
        <v>92</v>
      </c>
      <c r="J5" s="24">
        <f t="shared" si="0"/>
        <v>45968</v>
      </c>
      <c r="K5" s="24">
        <f t="shared" si="1"/>
        <v>45969</v>
      </c>
      <c r="L5" s="37">
        <f t="shared" si="2"/>
        <v>3</v>
      </c>
      <c r="M5" s="22">
        <v>20000</v>
      </c>
      <c r="N5" s="37">
        <f t="shared" si="3"/>
        <v>2</v>
      </c>
      <c r="O5" s="37">
        <f t="shared" si="4"/>
        <v>120000</v>
      </c>
      <c r="P5" s="37">
        <f>SUMIFS('PAYMENTS RECEIVED'!$I:$I,'PAYMENTS RECEIVED'!$C:$C, $C5,'PAYMENTS RECEIVED'!$D:$D, $D5)</f>
        <v>0</v>
      </c>
      <c r="Q5" s="22">
        <f t="shared" ref="Q5:Q11" si="6">SUM(O5-P5)</f>
        <v>120000</v>
      </c>
      <c r="R5" s="49" t="str">
        <f t="shared" ref="R5:R11" si="7">IF(O5-P5&gt;0,"PENDING", IF(O5-P5=0,"FULL PAYMENT RECEIVED","ADVANCE PAYMENT"))</f>
        <v>PENDING</v>
      </c>
      <c r="S5" s="60">
        <f>IF(D5="","", SUMIF(EXPENSE!$G:$G, D5, EXPENSE!$J:$J))</f>
        <v>0</v>
      </c>
    </row>
    <row r="6" spans="1:19" ht="28.8" x14ac:dyDescent="0.3">
      <c r="A6" s="38">
        <f t="shared" si="5"/>
        <v>5</v>
      </c>
      <c r="B6" s="23">
        <v>45991</v>
      </c>
      <c r="C6" s="22" t="s">
        <v>27</v>
      </c>
      <c r="D6" s="37" t="str">
        <f>C6 &amp; "-" &amp; COUNTIF($C$2:C6, C6)</f>
        <v>MUFID-2</v>
      </c>
      <c r="E6" s="22" t="s">
        <v>43</v>
      </c>
      <c r="F6" s="22" t="s">
        <v>33</v>
      </c>
      <c r="G6" s="22" t="s">
        <v>34</v>
      </c>
      <c r="H6" s="22" t="s">
        <v>104</v>
      </c>
      <c r="I6" s="22" t="s">
        <v>14</v>
      </c>
      <c r="J6" s="24">
        <f t="shared" si="0"/>
        <v>45970</v>
      </c>
      <c r="K6" s="24">
        <f t="shared" si="1"/>
        <v>45971</v>
      </c>
      <c r="L6" s="37">
        <f t="shared" si="2"/>
        <v>1</v>
      </c>
      <c r="M6" s="22">
        <v>20000</v>
      </c>
      <c r="N6" s="37">
        <f t="shared" si="3"/>
        <v>2</v>
      </c>
      <c r="O6" s="37">
        <f t="shared" si="4"/>
        <v>40000</v>
      </c>
      <c r="P6" s="37">
        <f>SUMIFS('PAYMENTS RECEIVED'!$I:$I,'PAYMENTS RECEIVED'!$C:$C, $C6,'PAYMENTS RECEIVED'!$D:$D, $D6)</f>
        <v>0</v>
      </c>
      <c r="Q6" s="22">
        <f t="shared" si="6"/>
        <v>40000</v>
      </c>
      <c r="R6" s="49" t="str">
        <f t="shared" si="7"/>
        <v>PENDING</v>
      </c>
      <c r="S6" s="60">
        <f>IF(D6="","", SUMIF(EXPENSE!$G:$G, D6, EXPENSE!$J:$J))</f>
        <v>0</v>
      </c>
    </row>
    <row r="7" spans="1:19" ht="28.8" x14ac:dyDescent="0.3">
      <c r="A7" s="38">
        <f t="shared" si="5"/>
        <v>6</v>
      </c>
      <c r="B7" s="23">
        <v>45993</v>
      </c>
      <c r="C7" s="22" t="s">
        <v>28</v>
      </c>
      <c r="D7" s="37" t="str">
        <f>C7 &amp; "-" &amp; COUNTIF($C$2:C7, C7)</f>
        <v>SANDY-1</v>
      </c>
      <c r="E7" s="22" t="s">
        <v>44</v>
      </c>
      <c r="F7" s="22" t="s">
        <v>33</v>
      </c>
      <c r="G7" s="22" t="s">
        <v>35</v>
      </c>
      <c r="H7" s="22" t="s">
        <v>105</v>
      </c>
      <c r="I7" s="22" t="s">
        <v>13</v>
      </c>
      <c r="J7" s="24">
        <f t="shared" si="0"/>
        <v>45974</v>
      </c>
      <c r="K7" s="24">
        <f t="shared" si="1"/>
        <v>45975</v>
      </c>
      <c r="L7" s="37">
        <f t="shared" si="2"/>
        <v>2</v>
      </c>
      <c r="M7" s="22">
        <v>20000</v>
      </c>
      <c r="N7" s="37">
        <f t="shared" si="3"/>
        <v>2</v>
      </c>
      <c r="O7" s="37">
        <f t="shared" si="4"/>
        <v>80000</v>
      </c>
      <c r="P7" s="37">
        <f>SUMIFS('PAYMENTS RECEIVED'!$I:$I,'PAYMENTS RECEIVED'!$C:$C, $C7,'PAYMENTS RECEIVED'!$D:$D, $D7)</f>
        <v>0</v>
      </c>
      <c r="Q7" s="22">
        <f t="shared" si="6"/>
        <v>80000</v>
      </c>
      <c r="R7" s="49" t="str">
        <f t="shared" si="7"/>
        <v>PENDING</v>
      </c>
      <c r="S7" s="60">
        <f>IF(D7="","", SUMIF(EXPENSE!$G:$G, D7, EXPENSE!$J:$J))</f>
        <v>0</v>
      </c>
    </row>
    <row r="8" spans="1:19" ht="28.8" x14ac:dyDescent="0.3">
      <c r="A8" s="38">
        <f t="shared" si="5"/>
        <v>7</v>
      </c>
      <c r="B8" s="23">
        <v>45995</v>
      </c>
      <c r="C8" s="22" t="s">
        <v>19</v>
      </c>
      <c r="D8" s="37" t="str">
        <f>C8 &amp; "-" &amp; COUNTIF($C$2:C8, C8)</f>
        <v>VICKY-1</v>
      </c>
      <c r="E8" s="22" t="s">
        <v>45</v>
      </c>
      <c r="F8" s="22" t="s">
        <v>33</v>
      </c>
      <c r="G8" s="22" t="s">
        <v>36</v>
      </c>
      <c r="H8" s="22" t="s">
        <v>91</v>
      </c>
      <c r="I8" s="22" t="s">
        <v>130</v>
      </c>
      <c r="J8" s="24">
        <f t="shared" si="0"/>
        <v>45976</v>
      </c>
      <c r="K8" s="24">
        <f t="shared" si="1"/>
        <v>45977</v>
      </c>
      <c r="L8" s="37">
        <f t="shared" si="2"/>
        <v>2</v>
      </c>
      <c r="M8" s="22">
        <v>20000</v>
      </c>
      <c r="N8" s="37">
        <f t="shared" si="3"/>
        <v>2</v>
      </c>
      <c r="O8" s="37">
        <f t="shared" si="4"/>
        <v>80000</v>
      </c>
      <c r="P8" s="37">
        <f>SUMIFS('PAYMENTS RECEIVED'!$I:$I,'PAYMENTS RECEIVED'!$C:$C, $C8,'PAYMENTS RECEIVED'!$D:$D, $D8)</f>
        <v>0</v>
      </c>
      <c r="Q8" s="22">
        <f t="shared" si="6"/>
        <v>80000</v>
      </c>
      <c r="R8" s="49" t="str">
        <f t="shared" si="7"/>
        <v>PENDING</v>
      </c>
      <c r="S8" s="60">
        <f>IF(D8="","", SUMIF(EXPENSE!$G:$G, D8, EXPENSE!$J:$J))</f>
        <v>0</v>
      </c>
    </row>
    <row r="9" spans="1:19" ht="28.8" x14ac:dyDescent="0.3">
      <c r="A9" s="38">
        <f t="shared" si="5"/>
        <v>8</v>
      </c>
      <c r="B9" s="23">
        <v>45997</v>
      </c>
      <c r="C9" s="22" t="s">
        <v>17</v>
      </c>
      <c r="D9" s="37" t="str">
        <f>C9 &amp; "-" &amp; COUNTIF($C$2:C9, C9)</f>
        <v>ASHISH-3</v>
      </c>
      <c r="E9" s="22" t="s">
        <v>58</v>
      </c>
      <c r="F9" s="22" t="s">
        <v>33</v>
      </c>
      <c r="G9" s="22" t="s">
        <v>37</v>
      </c>
      <c r="H9" s="22" t="s">
        <v>106</v>
      </c>
      <c r="I9" s="22" t="s">
        <v>13</v>
      </c>
      <c r="J9" s="24">
        <f t="shared" si="0"/>
        <v>45978</v>
      </c>
      <c r="K9" s="24">
        <f t="shared" si="1"/>
        <v>45979</v>
      </c>
      <c r="L9" s="37">
        <f t="shared" si="2"/>
        <v>2</v>
      </c>
      <c r="M9" s="22">
        <v>20000</v>
      </c>
      <c r="N9" s="37">
        <f t="shared" si="3"/>
        <v>2</v>
      </c>
      <c r="O9" s="37">
        <f t="shared" si="4"/>
        <v>80000</v>
      </c>
      <c r="P9" s="37">
        <f>SUMIFS('PAYMENTS RECEIVED'!$I:$I,'PAYMENTS RECEIVED'!$C:$C, $C9,'PAYMENTS RECEIVED'!$D:$D, $D9)</f>
        <v>0</v>
      </c>
      <c r="Q9" s="22">
        <f t="shared" si="6"/>
        <v>80000</v>
      </c>
      <c r="R9" s="49" t="str">
        <f t="shared" si="7"/>
        <v>PENDING</v>
      </c>
      <c r="S9" s="60">
        <f>IF(D9="","", SUMIF(EXPENSE!$G:$G, D9, EXPENSE!$J:$J))</f>
        <v>0</v>
      </c>
    </row>
    <row r="10" spans="1:19" ht="28.8" x14ac:dyDescent="0.3">
      <c r="A10" s="38">
        <f t="shared" si="5"/>
        <v>9</v>
      </c>
      <c r="B10" s="23">
        <v>45999</v>
      </c>
      <c r="C10" s="22" t="s">
        <v>16</v>
      </c>
      <c r="D10" s="37" t="str">
        <f>C10 &amp; "-" &amp; COUNTIF($C$2:C10, C10)</f>
        <v>NILESH-1</v>
      </c>
      <c r="E10" s="22" t="s">
        <v>46</v>
      </c>
      <c r="F10" s="22" t="s">
        <v>33</v>
      </c>
      <c r="G10" s="22" t="s">
        <v>38</v>
      </c>
      <c r="H10" s="22" t="s">
        <v>107</v>
      </c>
      <c r="I10" s="22" t="s">
        <v>93</v>
      </c>
      <c r="J10" s="24">
        <f t="shared" si="0"/>
        <v>45980</v>
      </c>
      <c r="K10" s="24">
        <f t="shared" si="1"/>
        <v>45981</v>
      </c>
      <c r="L10" s="37">
        <f t="shared" si="2"/>
        <v>2</v>
      </c>
      <c r="M10" s="22">
        <v>20000</v>
      </c>
      <c r="N10" s="37">
        <f t="shared" si="3"/>
        <v>2</v>
      </c>
      <c r="O10" s="37">
        <f t="shared" si="4"/>
        <v>80000</v>
      </c>
      <c r="P10" s="37">
        <f>SUMIFS('PAYMENTS RECEIVED'!$I:$I,'PAYMENTS RECEIVED'!$C:$C, $C10,'PAYMENTS RECEIVED'!$D:$D, $D10)</f>
        <v>0</v>
      </c>
      <c r="Q10" s="22">
        <f t="shared" si="6"/>
        <v>80000</v>
      </c>
      <c r="R10" s="49" t="str">
        <f t="shared" si="7"/>
        <v>PENDING</v>
      </c>
      <c r="S10" s="60">
        <f>IF(D10="","", SUMIF(EXPENSE!$G:$G, D10, EXPENSE!$J:$J))</f>
        <v>0</v>
      </c>
    </row>
    <row r="11" spans="1:19" ht="28.8" x14ac:dyDescent="0.3">
      <c r="A11" s="50">
        <f t="shared" si="5"/>
        <v>10</v>
      </c>
      <c r="B11" s="51">
        <v>46001</v>
      </c>
      <c r="C11" s="52" t="s">
        <v>17</v>
      </c>
      <c r="D11" s="53" t="str">
        <f>C11 &amp; "-" &amp; COUNTIF($C$2:C11, C11)</f>
        <v>ASHISH-4</v>
      </c>
      <c r="E11" s="52" t="s">
        <v>47</v>
      </c>
      <c r="F11" s="52" t="s">
        <v>33</v>
      </c>
      <c r="G11" s="52" t="s">
        <v>39</v>
      </c>
      <c r="H11" s="52" t="s">
        <v>108</v>
      </c>
      <c r="I11" s="52" t="s">
        <v>13</v>
      </c>
      <c r="J11" s="54">
        <f t="shared" si="0"/>
        <v>45982</v>
      </c>
      <c r="K11" s="54">
        <f t="shared" si="1"/>
        <v>45983</v>
      </c>
      <c r="L11" s="53">
        <f t="shared" si="2"/>
        <v>2</v>
      </c>
      <c r="M11" s="52">
        <v>20000</v>
      </c>
      <c r="N11" s="53">
        <f t="shared" si="3"/>
        <v>2</v>
      </c>
      <c r="O11" s="53">
        <f t="shared" si="4"/>
        <v>80000</v>
      </c>
      <c r="P11" s="53">
        <f>SUMIFS('PAYMENTS RECEIVED'!$I:$I,'PAYMENTS RECEIVED'!$C:$C, $C11,'PAYMENTS RECEIVED'!$D:$D, $D11)</f>
        <v>0</v>
      </c>
      <c r="Q11" s="52">
        <f t="shared" si="6"/>
        <v>80000</v>
      </c>
      <c r="R11" s="55" t="str">
        <f t="shared" si="7"/>
        <v>PENDING</v>
      </c>
      <c r="S11" s="60">
        <f>IF(D11="","", SUMIF(EXPENSE!$G:$G, D11, EXPENSE!$J:$J))</f>
        <v>0</v>
      </c>
    </row>
    <row r="12" spans="1:19" ht="28.8" x14ac:dyDescent="0.3">
      <c r="A12" s="38">
        <f>ROW()-1</f>
        <v>11</v>
      </c>
      <c r="B12" s="23">
        <v>46003</v>
      </c>
      <c r="C12" s="22" t="s">
        <v>16</v>
      </c>
      <c r="D12" s="53" t="str">
        <f>C12 &amp; "-" &amp; COUNTIF($C$2:C12, C12)</f>
        <v>NILESH-2</v>
      </c>
      <c r="E12" s="22" t="s">
        <v>47</v>
      </c>
      <c r="F12" s="22" t="s">
        <v>49</v>
      </c>
      <c r="G12" s="22" t="s">
        <v>38</v>
      </c>
      <c r="H12" s="22" t="s">
        <v>60</v>
      </c>
      <c r="I12" s="22" t="s">
        <v>22</v>
      </c>
      <c r="J12" s="24">
        <f>--LEFT($H12,10)</f>
        <v>45962</v>
      </c>
      <c r="K12" s="24">
        <f>--RIGHT($H12,10)</f>
        <v>45963</v>
      </c>
      <c r="L12" s="37">
        <f>IF(I12="",0,LEN(I12)-LEN(SUBSTITUTE(I12,",",""))+1)</f>
        <v>1</v>
      </c>
      <c r="M12" s="22">
        <v>10000</v>
      </c>
      <c r="N12" s="37">
        <f>IF(H12="","",DATEDIF(DATEVALUE(LEFT(H12,10)),DATEVALUE(RIGHT(H12,10)),"D") + 1)</f>
        <v>2</v>
      </c>
      <c r="O12" s="37">
        <f>N12*M12*L12</f>
        <v>20000</v>
      </c>
      <c r="P12" s="37">
        <f>SUMIFS('PAYMENTS RECEIVED'!$I:$I,'PAYMENTS RECEIVED'!$C:$C, $C12,'PAYMENTS RECEIVED'!$D:$D, $D12)</f>
        <v>0</v>
      </c>
      <c r="Q12" s="22">
        <f>SUM(O12-P12)</f>
        <v>20000</v>
      </c>
      <c r="R12" s="49" t="str">
        <f>IF(O12-P12&gt;0,"PENDING", IF(O12-P12=0,"FULL PAYMENT RECEIVED","ADVANCE PAYMENT"))</f>
        <v>PENDING</v>
      </c>
      <c r="S12" s="60">
        <f>IF(D12="","", SUMIF(EXPENSE!$G:$G, D12, EXPENSE!$J:$J))</f>
        <v>0</v>
      </c>
    </row>
    <row r="13" spans="1:19" ht="28.8" x14ac:dyDescent="0.3">
      <c r="A13" s="38">
        <f t="shared" ref="A13:A15" si="8">ROW()-1</f>
        <v>12</v>
      </c>
      <c r="B13" s="23">
        <v>46013</v>
      </c>
      <c r="C13" s="22" t="s">
        <v>19</v>
      </c>
      <c r="D13" s="53" t="str">
        <f>C13 &amp; "-" &amp; COUNTIF($C$2:C13, C13)</f>
        <v>VICKY-2</v>
      </c>
      <c r="E13" s="22" t="s">
        <v>46</v>
      </c>
      <c r="F13" s="22" t="s">
        <v>33</v>
      </c>
      <c r="G13" s="22" t="s">
        <v>37</v>
      </c>
      <c r="H13" s="22" t="s">
        <v>111</v>
      </c>
      <c r="I13" s="22" t="s">
        <v>26</v>
      </c>
      <c r="J13" s="24">
        <f t="shared" ref="J13" si="9">--LEFT($H13,10)</f>
        <v>45973</v>
      </c>
      <c r="K13" s="24">
        <f t="shared" ref="K13" si="10">--RIGHT($H13,10)</f>
        <v>45974</v>
      </c>
      <c r="L13" s="37">
        <f t="shared" ref="L13" si="11">IF(I13="",0,LEN(I13)-LEN(SUBSTITUTE(I13,",",""))+1)</f>
        <v>1</v>
      </c>
      <c r="M13" s="22">
        <v>1111</v>
      </c>
      <c r="N13" s="37">
        <f t="shared" ref="N13:N14" si="12">IF(H13="","",DATEDIF(DATEVALUE(LEFT(H13,10)),DATEVALUE(RIGHT(H13,10)),"D") + 1)</f>
        <v>2</v>
      </c>
      <c r="O13" s="37">
        <f t="shared" ref="O13:O14" si="13">N13*M13*L13</f>
        <v>2222</v>
      </c>
      <c r="P13" s="37">
        <f>SUMIFS('PAYMENTS RECEIVED'!$I:$I,'PAYMENTS RECEIVED'!$C:$C, $C13,'PAYMENTS RECEIVED'!$D:$D, $D13)</f>
        <v>0</v>
      </c>
      <c r="Q13" s="22">
        <f t="shared" ref="Q13:Q14" si="14">SUM(O13-P13)</f>
        <v>2222</v>
      </c>
      <c r="R13" s="49" t="str">
        <f t="shared" ref="R13:R14" si="15">IF(O13-P13&gt;0,"PENDING", IF(O13-P13=0,"FULL PAYMENT RECEIVED","ADVANCE PAYMENT"))</f>
        <v>PENDING</v>
      </c>
      <c r="S13" s="60">
        <f>IF(D13="","", SUMIF(EXPENSE!$G:$G, D13, EXPENSE!$J:$J))</f>
        <v>800</v>
      </c>
    </row>
    <row r="14" spans="1:19" ht="28.8" x14ac:dyDescent="0.3">
      <c r="A14" s="38">
        <f t="shared" si="8"/>
        <v>13</v>
      </c>
      <c r="B14" s="23">
        <v>46004</v>
      </c>
      <c r="C14" s="22" t="s">
        <v>17</v>
      </c>
      <c r="D14" s="53" t="str">
        <f>C14 &amp; "-" &amp; COUNTIF($C$2:C14, C14)</f>
        <v>ASHISH-5</v>
      </c>
      <c r="E14" s="22" t="s">
        <v>47</v>
      </c>
      <c r="F14" s="22" t="s">
        <v>49</v>
      </c>
      <c r="G14" s="22" t="s">
        <v>38</v>
      </c>
      <c r="H14" s="22" t="s">
        <v>60</v>
      </c>
      <c r="I14" s="22" t="s">
        <v>22</v>
      </c>
      <c r="J14" s="24">
        <f>--LEFT($H14,10)</f>
        <v>45962</v>
      </c>
      <c r="K14" s="24">
        <f>--RIGHT($H14,10)</f>
        <v>45963</v>
      </c>
      <c r="L14" s="37">
        <f>IF(I14="",0,LEN(I14)-LEN(SUBSTITUTE(I14,",",""))+1)</f>
        <v>1</v>
      </c>
      <c r="M14" s="22">
        <v>10000</v>
      </c>
      <c r="N14" s="37">
        <f t="shared" si="12"/>
        <v>2</v>
      </c>
      <c r="O14" s="37">
        <f t="shared" si="13"/>
        <v>20000</v>
      </c>
      <c r="P14" s="37">
        <f>SUMIFS('PAYMENTS RECEIVED'!$I:$I,'PAYMENTS RECEIVED'!$C:$C, $C14,'PAYMENTS RECEIVED'!$D:$D, $D14)</f>
        <v>0</v>
      </c>
      <c r="Q14" s="22">
        <f t="shared" si="14"/>
        <v>20000</v>
      </c>
      <c r="R14" s="49" t="str">
        <f t="shared" si="15"/>
        <v>PENDING</v>
      </c>
      <c r="S14" s="60">
        <f>IF(D14="","", SUMIF(EXPENSE!$G:$G, D14, EXPENSE!$J:$J))</f>
        <v>0</v>
      </c>
    </row>
    <row r="15" spans="1:19" ht="28.8" x14ac:dyDescent="0.3">
      <c r="A15" s="38">
        <f t="shared" si="8"/>
        <v>14</v>
      </c>
      <c r="B15" s="23">
        <v>46005</v>
      </c>
      <c r="C15" s="22" t="s">
        <v>16</v>
      </c>
      <c r="D15" s="37" t="str">
        <f>C15 &amp; "-" &amp; COUNTIF($C$2:C15, C15)</f>
        <v>NILESH-3</v>
      </c>
      <c r="E15" s="22" t="s">
        <v>47</v>
      </c>
      <c r="F15" s="22" t="s">
        <v>49</v>
      </c>
      <c r="G15" s="22" t="s">
        <v>38</v>
      </c>
      <c r="H15" s="22" t="s">
        <v>111</v>
      </c>
      <c r="I15" s="22" t="s">
        <v>23</v>
      </c>
      <c r="J15" s="24">
        <f t="shared" ref="J15" si="16">--LEFT($H15,10)</f>
        <v>45973</v>
      </c>
      <c r="K15" s="24">
        <f t="shared" ref="K15" si="17">--RIGHT($H15,10)</f>
        <v>45974</v>
      </c>
      <c r="L15" s="37">
        <f t="shared" ref="L15" si="18">IF(I15="",0,LEN(I15)-LEN(SUBSTITUTE(I15,",",""))+1)</f>
        <v>1</v>
      </c>
      <c r="M15" s="22">
        <v>2</v>
      </c>
      <c r="N15" s="37">
        <f t="shared" ref="N15" si="19">IF(H15="","",DATEDIF(DATEVALUE(LEFT(H15,10)),DATEVALUE(RIGHT(H15,10)),"D") + 1)</f>
        <v>2</v>
      </c>
      <c r="O15" s="37">
        <f t="shared" ref="O15" si="20">N15*M15*L15</f>
        <v>4</v>
      </c>
      <c r="P15" s="37">
        <f>SUMIFS('PAYMENTS RECEIVED'!$I:$I,'PAYMENTS RECEIVED'!$C:$C, $C15,'PAYMENTS RECEIVED'!$D:$D, $D15)</f>
        <v>0</v>
      </c>
      <c r="Q15" s="22">
        <f t="shared" ref="Q15" si="21">SUM(O15-P15)</f>
        <v>4</v>
      </c>
      <c r="R15" s="49" t="str">
        <f t="shared" ref="R15" si="22">IF(O15-P15&gt;0,"PENDING", IF(O15-P15=0,"FULL PAYMENT RECEIVED","ADVANCE PAYMENT"))</f>
        <v>PENDING</v>
      </c>
      <c r="S15" s="60">
        <f>IF(D15="","", SUMIF(EXPENSE!$G:$G, D15, EXPENSE!$J:$J))</f>
        <v>0</v>
      </c>
    </row>
    <row r="16" spans="1:19" x14ac:dyDescent="0.3">
      <c r="A16" s="22">
        <f t="shared" si="5"/>
        <v>15</v>
      </c>
    </row>
    <row r="17" spans="1:1" x14ac:dyDescent="0.3">
      <c r="A17" s="22">
        <f t="shared" si="5"/>
        <v>16</v>
      </c>
    </row>
    <row r="18" spans="1:1" x14ac:dyDescent="0.3">
      <c r="A18" s="22">
        <f t="shared" si="5"/>
        <v>17</v>
      </c>
    </row>
    <row r="19" spans="1:1" x14ac:dyDescent="0.3">
      <c r="A19" s="22">
        <f t="shared" si="5"/>
        <v>18</v>
      </c>
    </row>
    <row r="20" spans="1:1" x14ac:dyDescent="0.3">
      <c r="A20" s="22">
        <f t="shared" si="5"/>
        <v>19</v>
      </c>
    </row>
    <row r="21" spans="1:1" x14ac:dyDescent="0.3">
      <c r="A21" s="22">
        <f t="shared" si="5"/>
        <v>20</v>
      </c>
    </row>
    <row r="22" spans="1:1" x14ac:dyDescent="0.3">
      <c r="A22" s="22">
        <f t="shared" si="5"/>
        <v>21</v>
      </c>
    </row>
    <row r="23" spans="1:1" x14ac:dyDescent="0.3">
      <c r="A23" s="22">
        <f t="shared" si="5"/>
        <v>22</v>
      </c>
    </row>
    <row r="24" spans="1:1" x14ac:dyDescent="0.3">
      <c r="A24" s="22">
        <f t="shared" si="5"/>
        <v>23</v>
      </c>
    </row>
    <row r="25" spans="1:1" x14ac:dyDescent="0.3">
      <c r="A25" s="22">
        <f t="shared" si="5"/>
        <v>24</v>
      </c>
    </row>
    <row r="26" spans="1:1" x14ac:dyDescent="0.3">
      <c r="A26" s="22">
        <f t="shared" si="5"/>
        <v>25</v>
      </c>
    </row>
    <row r="27" spans="1:1" x14ac:dyDescent="0.3">
      <c r="A27" s="22">
        <f t="shared" si="5"/>
        <v>26</v>
      </c>
    </row>
    <row r="28" spans="1:1" x14ac:dyDescent="0.3">
      <c r="A28" s="22">
        <f t="shared" si="5"/>
        <v>27</v>
      </c>
    </row>
  </sheetData>
  <phoneticPr fontId="2" type="noConversion"/>
  <conditionalFormatting sqref="Q2:Q1048576">
    <cfRule type="expression" dxfId="43" priority="2">
      <formula>Q2&lt;0</formula>
    </cfRule>
    <cfRule type="expression" dxfId="42" priority="3">
      <formula>AND(Q2&lt;&gt;"", Q2&lt;&gt;0)</formula>
    </cfRule>
    <cfRule type="expression" dxfId="41" priority="4">
      <formula>AND(Q2=0, Q2&lt;&gt;"")</formula>
    </cfRule>
  </conditionalFormatting>
  <conditionalFormatting sqref="R1:R1048576">
    <cfRule type="containsText" dxfId="40" priority="1" operator="containsText" text="ADVANCE PAYMENT">
      <formula>NOT(ISERROR(SEARCH("ADVANCE PAYMENT",R1)))</formula>
    </cfRule>
    <cfRule type="containsText" dxfId="39" priority="6" operator="containsText" text="PENDING">
      <formula>NOT(ISERROR(SEARCH("PENDING",R1)))</formula>
    </cfRule>
    <cfRule type="containsText" dxfId="38" priority="7" operator="containsText" text="FULL PAYMENT RECEIVED">
      <formula>NOT(ISERROR(SEARCH("FULL PAYMENT RECEIVED",R1)))</formula>
    </cfRule>
  </conditionalFormatting>
  <pageMargins left="0.7" right="0.7" top="0.75" bottom="0.75" header="0.3" footer="0.3"/>
  <pageSetup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ECB422-EDC2-4E14-BE65-924C5AC30934}">
          <x14:formula1>
            <xm:f>'MASTER DATA'!$C$2:$C$9</xm:f>
          </x14:formula1>
          <xm:sqref>C18:C1048576 C2:C15</xm:sqref>
        </x14:dataValidation>
        <x14:dataValidation type="list" allowBlank="1" showInputMessage="1" showErrorMessage="1" xr:uid="{4EA7582B-0B31-414D-9632-C0EF15C591C3}">
          <x14:formula1>
            <xm:f>'MASTER DATA'!$G$2:$G$7</xm:f>
          </x14:formula1>
          <xm:sqref>F2:F1048576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7F643-60B8-4078-BD35-A50A4CF0ED6D}">
  <sheetPr codeName="Sheet8"/>
  <dimension ref="A1:J4"/>
  <sheetViews>
    <sheetView workbookViewId="0">
      <selection activeCell="G2" sqref="G2"/>
    </sheetView>
  </sheetViews>
  <sheetFormatPr defaultRowHeight="19.2" customHeight="1" x14ac:dyDescent="0.3"/>
  <cols>
    <col min="1" max="1" width="11.77734375" style="1" bestFit="1" customWidth="1"/>
    <col min="2" max="2" width="10.33203125" style="1" bestFit="1" customWidth="1"/>
    <col min="3" max="3" width="25" style="1" bestFit="1" customWidth="1"/>
    <col min="4" max="4" width="19.77734375" style="1" bestFit="1" customWidth="1"/>
    <col min="5" max="5" width="19.33203125" style="1" bestFit="1" customWidth="1"/>
    <col min="6" max="6" width="10.77734375" style="1" bestFit="1" customWidth="1"/>
    <col min="7" max="7" width="16.21875" style="1" bestFit="1" customWidth="1"/>
    <col min="8" max="8" width="17.6640625" style="1" bestFit="1" customWidth="1"/>
    <col min="9" max="9" width="29.109375" style="1" bestFit="1" customWidth="1"/>
    <col min="10" max="10" width="19" style="1" bestFit="1" customWidth="1"/>
    <col min="11" max="16384" width="8.88671875" style="1"/>
  </cols>
  <sheetData>
    <row r="1" spans="1:10" ht="19.2" customHeight="1" x14ac:dyDescent="0.3">
      <c r="A1" s="5" t="s">
        <v>4</v>
      </c>
      <c r="B1" s="5" t="s">
        <v>3</v>
      </c>
      <c r="C1" s="5" t="s">
        <v>115</v>
      </c>
      <c r="D1" s="5" t="s">
        <v>121</v>
      </c>
      <c r="E1" s="5" t="s">
        <v>116</v>
      </c>
      <c r="F1" s="5" t="s">
        <v>117</v>
      </c>
      <c r="G1" s="5" t="s">
        <v>2</v>
      </c>
      <c r="H1" s="5" t="s">
        <v>118</v>
      </c>
      <c r="I1" s="5" t="s">
        <v>126</v>
      </c>
      <c r="J1" s="5" t="s">
        <v>120</v>
      </c>
    </row>
    <row r="2" spans="1:10" ht="19.2" customHeight="1" x14ac:dyDescent="0.3">
      <c r="A2" s="1">
        <f>ROW()-1</f>
        <v>1</v>
      </c>
      <c r="B2" s="2">
        <v>45990</v>
      </c>
      <c r="C2" s="1" t="s">
        <v>127</v>
      </c>
      <c r="D2" s="1" t="s">
        <v>146</v>
      </c>
      <c r="E2" s="1" t="s">
        <v>145</v>
      </c>
      <c r="F2" s="1" t="s">
        <v>8</v>
      </c>
      <c r="G2" s="1" t="s">
        <v>114</v>
      </c>
      <c r="H2" s="1">
        <v>1000</v>
      </c>
      <c r="I2" s="1">
        <v>200</v>
      </c>
      <c r="J2" s="1">
        <f>H2 - I2</f>
        <v>800</v>
      </c>
    </row>
    <row r="3" spans="1:10" ht="19.2" customHeight="1" x14ac:dyDescent="0.3">
      <c r="A3" s="22">
        <f>ROW()-1</f>
        <v>2</v>
      </c>
      <c r="B3" s="2">
        <v>45990</v>
      </c>
      <c r="C3" s="1" t="s">
        <v>128</v>
      </c>
      <c r="D3" s="1" t="s">
        <v>95</v>
      </c>
      <c r="E3" s="1" t="s">
        <v>131</v>
      </c>
      <c r="F3" s="1" t="s">
        <v>123</v>
      </c>
      <c r="G3" s="1" t="s">
        <v>48</v>
      </c>
      <c r="H3" s="1">
        <v>500</v>
      </c>
      <c r="I3" s="1">
        <v>2</v>
      </c>
      <c r="J3" s="1">
        <f>H3 - I3</f>
        <v>498</v>
      </c>
    </row>
    <row r="4" spans="1:10" ht="19.2" customHeight="1" x14ac:dyDescent="0.3">
      <c r="A4" s="1">
        <f t="shared" ref="A4" si="0">ROW()-1</f>
        <v>3</v>
      </c>
      <c r="B4" s="2">
        <v>45990</v>
      </c>
      <c r="C4" s="1" t="s">
        <v>127</v>
      </c>
      <c r="D4" s="1" t="s">
        <v>20</v>
      </c>
      <c r="E4" s="1" t="s">
        <v>135</v>
      </c>
      <c r="F4" s="1" t="s">
        <v>123</v>
      </c>
      <c r="G4" s="1" t="s">
        <v>2</v>
      </c>
      <c r="H4" s="1">
        <v>500</v>
      </c>
      <c r="I4" s="1">
        <v>2</v>
      </c>
      <c r="J4" s="1">
        <f>H4 - I4</f>
        <v>498</v>
      </c>
    </row>
  </sheetData>
  <autoFilter ref="A1:J1" xr:uid="{D117F643-60B8-4078-BD35-A50A4CF0ED6D}"/>
  <phoneticPr fontId="2" type="noConversion"/>
  <dataValidations count="3">
    <dataValidation type="list" allowBlank="1" showInputMessage="1" showErrorMessage="1" sqref="E2:E1048576" xr:uid="{1897BFE0-B451-4CEC-82B6-BE25912C42AA}">
      <formula1>EXPENSE_CATEGORY</formula1>
    </dataValidation>
    <dataValidation type="list" allowBlank="1" showInputMessage="1" showErrorMessage="1" sqref="D2 D4:D1048576" xr:uid="{D7C78920-7E0D-4871-9EA4-ACB94913DB32}">
      <formula1>ArtistsList</formula1>
    </dataValidation>
    <dataValidation type="list" allowBlank="1" showInputMessage="1" showErrorMessage="1" sqref="F2:F10" xr:uid="{4948B7B6-90D7-4728-BA02-62175906ACC5}">
      <formula1>PAYMENT_MODE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C63608-A2F4-4CAA-81DB-AF849BAF4808}">
          <x14:formula1>
            <xm:f>SHOOTS!$D:$D</xm:f>
          </x14:formula1>
          <xm:sqref>G2:G10</xm:sqref>
        </x14:dataValidation>
        <x14:dataValidation type="list" allowBlank="1" showInputMessage="1" showErrorMessage="1" xr:uid="{17FFD9CC-D70A-4F29-99AD-508D83D64C67}">
          <x14:formula1>
            <xm:f>SHOOTS!$D$2:$D$32</xm:f>
          </x14:formula1>
          <xm:sqref>G2:G10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03702-E8EB-4B8E-BDD8-7CA399F71C35}">
  <sheetPr codeName="Sheet4"/>
  <dimension ref="A1:J9"/>
  <sheetViews>
    <sheetView workbookViewId="0">
      <selection activeCell="I5" sqref="A1:I5"/>
    </sheetView>
  </sheetViews>
  <sheetFormatPr defaultRowHeight="14.4" x14ac:dyDescent="0.3"/>
  <cols>
    <col min="1" max="1" width="7.33203125" style="30" bestFit="1" customWidth="1"/>
    <col min="2" max="2" width="10.33203125" style="35" bestFit="1" customWidth="1"/>
    <col min="3" max="3" width="19.33203125" style="1" bestFit="1" customWidth="1"/>
    <col min="4" max="4" width="16.21875" style="1" bestFit="1" customWidth="1"/>
    <col min="5" max="5" width="14.21875" style="10" bestFit="1" customWidth="1"/>
    <col min="6" max="6" width="15.33203125" style="10" bestFit="1" customWidth="1"/>
    <col min="7" max="7" width="16.77734375" style="10" bestFit="1" customWidth="1"/>
    <col min="8" max="8" width="19.77734375" style="1" bestFit="1" customWidth="1"/>
    <col min="9" max="9" width="22.33203125" style="34" bestFit="1" customWidth="1"/>
    <col min="10" max="10" width="8.88671875" style="30"/>
    <col min="11" max="16384" width="8.88671875" style="1"/>
  </cols>
  <sheetData>
    <row r="1" spans="1:10" s="4" customFormat="1" ht="15" thickBot="1" x14ac:dyDescent="0.35">
      <c r="A1" s="3" t="s">
        <v>4</v>
      </c>
      <c r="B1" s="46" t="s">
        <v>3</v>
      </c>
      <c r="C1" s="47" t="s">
        <v>109</v>
      </c>
      <c r="D1" s="47" t="s">
        <v>2</v>
      </c>
      <c r="E1" s="47" t="s">
        <v>31</v>
      </c>
      <c r="F1" s="47" t="s">
        <v>32</v>
      </c>
      <c r="G1" s="47" t="s">
        <v>40</v>
      </c>
      <c r="H1" s="47" t="s">
        <v>6</v>
      </c>
      <c r="I1" s="48" t="s">
        <v>7</v>
      </c>
      <c r="J1" s="26"/>
    </row>
    <row r="2" spans="1:10" x14ac:dyDescent="0.3">
      <c r="A2" s="1">
        <f>ROW()-1</f>
        <v>1</v>
      </c>
      <c r="B2" s="31">
        <v>45981</v>
      </c>
      <c r="C2" s="27" t="s">
        <v>16</v>
      </c>
      <c r="D2" s="28" t="s">
        <v>113</v>
      </c>
      <c r="E2" s="29" t="str">
        <f>_xlfn.XLOOKUP(D2, SHOOTS!$D:$D, SHOOTS!$E:$E, "")</f>
        <v>KOLKATA</v>
      </c>
      <c r="F2" s="29" t="str">
        <f>_xlfn.XLOOKUP(D2, SHOOTS!$D:$D, SHOOTS!$F:$F, "")</f>
        <v>SHOOT</v>
      </c>
      <c r="G2" s="29" t="str">
        <f>_xlfn.XLOOKUP(D2, SHOOTS!$D:$D, SHOOTS!$G:$G, "")</f>
        <v>MUSIC VIDEO</v>
      </c>
      <c r="H2" s="28" t="s">
        <v>8</v>
      </c>
      <c r="I2" s="32">
        <v>40000</v>
      </c>
    </row>
    <row r="3" spans="1:10" x14ac:dyDescent="0.3">
      <c r="A3" s="1">
        <f>ROW()-1</f>
        <v>2</v>
      </c>
      <c r="B3" s="33">
        <v>45981</v>
      </c>
      <c r="C3" s="2" t="s">
        <v>17</v>
      </c>
      <c r="D3" s="1" t="s">
        <v>110</v>
      </c>
      <c r="E3" s="10" t="str">
        <f>_xlfn.XLOOKUP(D3, SHOOTS!$D:$D, SHOOTS!$E:$E, "")</f>
        <v>DELHI</v>
      </c>
      <c r="F3" s="10" t="str">
        <f>_xlfn.XLOOKUP(D3, SHOOTS!$D:$D, SHOOTS!$F:$F, "")</f>
        <v>SHOOT</v>
      </c>
      <c r="G3" s="10" t="str">
        <f>_xlfn.XLOOKUP(D3, SHOOTS!$D:$D, SHOOTS!$G:$G, "")</f>
        <v>BIGBOSS</v>
      </c>
      <c r="H3" s="1" t="s">
        <v>8</v>
      </c>
      <c r="I3" s="34">
        <v>4000</v>
      </c>
    </row>
    <row r="4" spans="1:10" x14ac:dyDescent="0.3">
      <c r="A4" s="1">
        <f t="shared" ref="A4:A9" si="0">ROW()-1</f>
        <v>3</v>
      </c>
      <c r="B4" s="33">
        <v>45983</v>
      </c>
      <c r="C4" s="2" t="s">
        <v>17</v>
      </c>
      <c r="D4" s="1" t="s">
        <v>110</v>
      </c>
      <c r="E4" s="10" t="str">
        <f>_xlfn.XLOOKUP(D4, SHOOTS!$D:$D, SHOOTS!$E:$E, "")</f>
        <v>DELHI</v>
      </c>
      <c r="F4" s="10" t="str">
        <f>_xlfn.XLOOKUP(D4, SHOOTS!$D:$D, SHOOTS!$F:$F, "")</f>
        <v>SHOOT</v>
      </c>
      <c r="G4" s="10" t="str">
        <f>_xlfn.XLOOKUP(D4, SHOOTS!$D:$D, SHOOTS!$G:$G, "")</f>
        <v>BIGBOSS</v>
      </c>
      <c r="H4" s="1" t="s">
        <v>9</v>
      </c>
      <c r="I4" s="34">
        <v>100000</v>
      </c>
    </row>
    <row r="5" spans="1:10" x14ac:dyDescent="0.3">
      <c r="A5" s="1">
        <f t="shared" si="0"/>
        <v>4</v>
      </c>
      <c r="B5" s="33">
        <v>45981</v>
      </c>
      <c r="C5" s="1" t="s">
        <v>17</v>
      </c>
      <c r="D5" s="1" t="s">
        <v>112</v>
      </c>
      <c r="E5" s="10" t="str">
        <f>_xlfn.XLOOKUP(D5, SHOOTS!$D:$D, SHOOTS!$E:$E, "")</f>
        <v/>
      </c>
      <c r="F5" s="10" t="str">
        <f>_xlfn.XLOOKUP(D5, SHOOTS!$D:$D, SHOOTS!$F:$F, "")</f>
        <v/>
      </c>
      <c r="G5" s="10" t="str">
        <f>_xlfn.XLOOKUP(D5, SHOOTS!$D:$D, SHOOTS!$G:$G, "")</f>
        <v/>
      </c>
      <c r="H5" s="1" t="s">
        <v>8</v>
      </c>
      <c r="I5" s="34">
        <v>3000</v>
      </c>
    </row>
    <row r="6" spans="1:10" x14ac:dyDescent="0.3">
      <c r="A6" s="1">
        <f t="shared" si="0"/>
        <v>5</v>
      </c>
    </row>
    <row r="7" spans="1:10" x14ac:dyDescent="0.3">
      <c r="A7" s="1">
        <f t="shared" si="0"/>
        <v>6</v>
      </c>
    </row>
    <row r="8" spans="1:10" x14ac:dyDescent="0.3">
      <c r="A8" s="1">
        <f t="shared" si="0"/>
        <v>7</v>
      </c>
    </row>
    <row r="9" spans="1:10" x14ac:dyDescent="0.3">
      <c r="A9" s="1">
        <f t="shared" si="0"/>
        <v>8</v>
      </c>
    </row>
  </sheetData>
  <autoFilter ref="B1:I5" xr:uid="{66003702-E8EB-4B8E-BDD8-7CA399F71C35}"/>
  <phoneticPr fontId="2" type="noConversion"/>
  <dataValidations count="1">
    <dataValidation type="list" allowBlank="1" showInputMessage="1" showErrorMessage="1" sqref="H2:H1048576" xr:uid="{9B12F3E9-BC81-405C-9E4B-6F20B85CE2E8}">
      <formula1>PAYMENT_MODE</formula1>
    </dataValidation>
  </dataValidations>
  <pageMargins left="0.7" right="0.7" top="0.75" bottom="0.75" header="0.3" footer="0.3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B12191-DF80-487D-96CE-0F5E5F075EF7}">
          <x14:formula1>
            <xm:f>'MASTER DATA'!$C$2:$C$13</xm:f>
          </x14:formula1>
          <xm:sqref>C2:C1048576</xm:sqref>
        </x14:dataValidation>
        <x14:dataValidation type="list" allowBlank="1" showInputMessage="1" showErrorMessage="1" xr:uid="{61FA2CC6-6B30-4CE7-98D8-D44142E40142}">
          <x14:formula1>
            <xm:f>'MASTER DATA'!$A$2:$A$6</xm:f>
          </x14:formula1>
          <xm:sqref>H1</xm:sqref>
        </x14:dataValidation>
        <x14:dataValidation type="list" allowBlank="1" showInputMessage="1" showErrorMessage="1" xr:uid="{40FEB517-E891-4B32-8C0C-657B045AEEA1}">
          <x14:formula1>
            <xm:f>SHOOTS!$D$2:$D$32</xm:f>
          </x14:formula1>
          <xm:sqref>D2:F1048576 G6:G1048576</xm:sqref>
        </x14:dataValidation>
        <x14:dataValidation type="list" allowBlank="1" showInputMessage="1" showErrorMessage="1" xr:uid="{2E4066A0-672F-4592-9F33-DEE8EE9071D1}">
          <x14:formula1>
            <xm:f>SHOOTS!$D:$D</xm:f>
          </x14:formula1>
          <xm:sqref>D2:F1048576 G6:G1048576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B6532-5569-4E45-9C62-886B0DFB9B8B}">
  <sheetPr codeName="Sheet7"/>
  <dimension ref="A1:F5"/>
  <sheetViews>
    <sheetView workbookViewId="0">
      <selection activeCell="F5" sqref="A1:F5"/>
    </sheetView>
  </sheetViews>
  <sheetFormatPr defaultRowHeight="14.4" x14ac:dyDescent="0.3"/>
  <cols>
    <col min="1" max="1" width="11.77734375" style="21" bestFit="1" customWidth="1"/>
    <col min="2" max="2" width="12.33203125" style="22" bestFit="1" customWidth="1"/>
    <col min="3" max="3" width="23.21875" style="22" bestFit="1" customWidth="1"/>
    <col min="4" max="4" width="10.21875" style="22" bestFit="1" customWidth="1"/>
    <col min="5" max="5" width="0.88671875" style="24" customWidth="1"/>
    <col min="6" max="6" width="1" style="25" customWidth="1"/>
    <col min="7" max="16384" width="8.88671875" style="16"/>
  </cols>
  <sheetData>
    <row r="1" spans="1:6" ht="20.399999999999999" customHeight="1" thickBot="1" x14ac:dyDescent="0.35">
      <c r="A1" s="12" t="s">
        <v>4</v>
      </c>
      <c r="B1" s="13" t="s">
        <v>77</v>
      </c>
      <c r="C1" s="13" t="s">
        <v>78</v>
      </c>
      <c r="D1" s="13" t="s">
        <v>79</v>
      </c>
      <c r="E1" s="14" t="s">
        <v>89</v>
      </c>
      <c r="F1" s="15" t="s">
        <v>90</v>
      </c>
    </row>
    <row r="2" spans="1:6" x14ac:dyDescent="0.3">
      <c r="A2" s="17">
        <f>ROW()-1</f>
        <v>1</v>
      </c>
      <c r="B2" s="18" t="s">
        <v>20</v>
      </c>
      <c r="C2" s="18" t="s">
        <v>94</v>
      </c>
      <c r="D2" s="18" t="s">
        <v>81</v>
      </c>
      <c r="E2" s="19">
        <f>--LEFT($C2,10)</f>
        <v>45969</v>
      </c>
      <c r="F2" s="20">
        <f>--RIGHT($C2,10)</f>
        <v>45970</v>
      </c>
    </row>
    <row r="3" spans="1:6" x14ac:dyDescent="0.3">
      <c r="A3" s="21">
        <f t="shared" ref="A3:A5" si="0">ROW()-1</f>
        <v>2</v>
      </c>
      <c r="B3" s="22" t="s">
        <v>14</v>
      </c>
      <c r="C3" s="23" t="s">
        <v>80</v>
      </c>
      <c r="D3" s="22" t="s">
        <v>82</v>
      </c>
      <c r="E3" s="24">
        <f t="shared" ref="E3:E5" si="1">--LEFT($C3,10)</f>
        <v>45962</v>
      </c>
      <c r="F3" s="25">
        <f t="shared" ref="F3:F5" si="2">--RIGHT($C3,10)</f>
        <v>45969</v>
      </c>
    </row>
    <row r="4" spans="1:6" x14ac:dyDescent="0.3">
      <c r="A4" s="21">
        <f t="shared" si="0"/>
        <v>3</v>
      </c>
      <c r="B4" s="22" t="s">
        <v>20</v>
      </c>
      <c r="C4" s="23" t="s">
        <v>99</v>
      </c>
      <c r="D4" s="22" t="s">
        <v>83</v>
      </c>
      <c r="E4" s="24">
        <f t="shared" si="1"/>
        <v>45963</v>
      </c>
      <c r="F4" s="25">
        <f t="shared" si="2"/>
        <v>45964</v>
      </c>
    </row>
    <row r="5" spans="1:6" x14ac:dyDescent="0.3">
      <c r="A5" s="21">
        <f t="shared" si="0"/>
        <v>4</v>
      </c>
      <c r="B5" s="22" t="s">
        <v>21</v>
      </c>
      <c r="C5" s="22" t="s">
        <v>91</v>
      </c>
      <c r="D5" s="22" t="s">
        <v>81</v>
      </c>
      <c r="E5" s="24">
        <f t="shared" si="1"/>
        <v>45976</v>
      </c>
      <c r="F5" s="25">
        <f t="shared" si="2"/>
        <v>45977</v>
      </c>
    </row>
  </sheetData>
  <autoFilter ref="A1:F1" xr:uid="{44BB6532-5569-4E45-9C62-886B0DFB9B8B}"/>
  <phoneticPr fontId="2" type="noConversion"/>
  <dataValidations count="1">
    <dataValidation type="list" allowBlank="1" showInputMessage="1" showErrorMessage="1" sqref="B2:B1048576" xr:uid="{38DFDAD4-84B9-4F29-AC82-F0A465894EEA}">
      <formula1>ArtistsList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1B378-BD90-416E-AB44-69990570234A}">
  <sheetPr codeName="Sheet6">
    <pageSetUpPr fitToPage="1"/>
  </sheetPr>
  <dimension ref="A1:J37"/>
  <sheetViews>
    <sheetView topLeftCell="D1" zoomScale="55" zoomScaleNormal="55" workbookViewId="0">
      <selection activeCell="E12" sqref="E12"/>
    </sheetView>
  </sheetViews>
  <sheetFormatPr defaultRowHeight="14.4" x14ac:dyDescent="0.3"/>
  <cols>
    <col min="1" max="1" width="15" style="1" bestFit="1" customWidth="1"/>
    <col min="2" max="2" width="51.5546875" style="1" bestFit="1" customWidth="1"/>
    <col min="3" max="3" width="52.33203125" style="1" bestFit="1" customWidth="1"/>
    <col min="4" max="5" width="46.77734375" style="1" bestFit="1" customWidth="1"/>
    <col min="6" max="6" width="10.109375" style="1" bestFit="1" customWidth="1"/>
    <col min="7" max="8" width="9.88671875" style="1" bestFit="1" customWidth="1"/>
    <col min="9" max="9" width="29.77734375" style="1" bestFit="1" customWidth="1"/>
    <col min="10" max="16384" width="8.88671875" style="1"/>
  </cols>
  <sheetData>
    <row r="1" spans="1:10" x14ac:dyDescent="0.3">
      <c r="A1" s="39" t="s">
        <v>76</v>
      </c>
      <c r="B1" s="40" t="s">
        <v>73</v>
      </c>
      <c r="C1" s="39" t="s">
        <v>86</v>
      </c>
      <c r="D1" s="40">
        <v>2025</v>
      </c>
      <c r="F1" s="41" t="s">
        <v>96</v>
      </c>
      <c r="G1" s="41" t="s">
        <v>97</v>
      </c>
      <c r="H1" s="41" t="s">
        <v>98</v>
      </c>
      <c r="I1" s="1" t="s">
        <v>100</v>
      </c>
    </row>
    <row r="3" spans="1:10" ht="15" thickBot="1" x14ac:dyDescent="0.35">
      <c r="A3" s="63" t="str">
        <f>"ARTIST ROASTER FOR THE MONTH - " &amp; B1</f>
        <v>ARTIST ROASTER FOR THE MONTH - NOVEMBER</v>
      </c>
      <c r="B3" s="64"/>
      <c r="C3" s="64"/>
      <c r="D3" s="64"/>
      <c r="E3" s="64"/>
      <c r="F3" s="64"/>
      <c r="G3" s="64"/>
      <c r="H3" s="64"/>
      <c r="I3" s="65"/>
    </row>
    <row r="4" spans="1:10" ht="15" thickBot="1" x14ac:dyDescent="0.35">
      <c r="A4" s="42" t="s">
        <v>84</v>
      </c>
      <c r="B4" s="43" t="s">
        <v>20</v>
      </c>
      <c r="C4" s="43" t="s">
        <v>14</v>
      </c>
      <c r="D4" s="43" t="s">
        <v>21</v>
      </c>
      <c r="E4" s="43" t="s">
        <v>22</v>
      </c>
      <c r="F4" s="43" t="s">
        <v>23</v>
      </c>
      <c r="G4" s="43" t="s">
        <v>24</v>
      </c>
      <c r="H4" s="43" t="s">
        <v>25</v>
      </c>
      <c r="I4" s="44" t="s">
        <v>26</v>
      </c>
      <c r="J4" s="30"/>
    </row>
    <row r="5" spans="1:10" ht="15" thickBot="1" x14ac:dyDescent="0.35">
      <c r="A5" s="45">
        <f>DATE($D$1, MONTH(DATEVALUE("1-"&amp;$B$1)), ROW()-4)</f>
        <v>45962</v>
      </c>
      <c r="B5" s="41" t="str" cm="1">
        <f t="array" ref="B5">_xlfn.LET( _xlpm.d,$A5,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ASHISH-1 / BANGLORE / REHERSAL / BIGBOSS</v>
      </c>
      <c r="C5" s="41" t="str" cm="1">
        <f t="array" ref="C5">_xlfn.LET( _xlpm.d,$A5,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VACATION: OUT</v>
      </c>
      <c r="D5" s="41" t="str" cm="1">
        <f t="array" ref="D5">_xlfn.LET( _xlpm.d,$A5,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ASHISH-1 / BANGLORE / REHERSAL / BIGBOSS</v>
      </c>
      <c r="E5" s="41" t="str" cm="1">
        <f t="array" ref="E5">_xlfn.LET( _xlpm.d,$A5,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ASHISH-1 / BANGLORE / REHERSAL / BIGBOSS | NILESH-2 / KOLKATA / REHERSAL / REALITY SHOW | ASHISH-5 / KOLKATA / REHERSAL / REALITY SHOW</v>
      </c>
      <c r="F5" s="41" t="str" cm="1">
        <f t="array" ref="F5">_xlfn.LET( _xlpm.d,$A5,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5" s="41" t="str" cm="1">
        <f t="array" ref="G5">_xlfn.LET( _xlpm.d,$A5,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5" s="41" t="str" cm="1">
        <f t="array" ref="H5">_xlfn.LET( _xlpm.d,$A5,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5" s="41" t="str" cm="1">
        <f t="array" ref="I5">_xlfn.LET( _xlpm.d,$A5,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5" s="30"/>
    </row>
    <row r="6" spans="1:10" ht="15" thickBot="1" x14ac:dyDescent="0.35">
      <c r="A6" s="45">
        <f t="shared" ref="A6:A35" si="0">DATE($D$1, MONTH(DATEVALUE("1-"&amp;$B$1)), ROW()-4)</f>
        <v>45963</v>
      </c>
      <c r="B6" s="41" t="str" cm="1">
        <f t="array" ref="B6">_xlfn.LET( _xlpm.d,$A6,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CONFLICT: ASHISH-1 / BANGLORE / REHERSAL / BIGBOSS + VAC: HOME</v>
      </c>
      <c r="C6" s="41" t="str" cm="1">
        <f t="array" ref="C6">_xlfn.LET( _xlpm.d,$A6,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VACATION: OUT</v>
      </c>
      <c r="D6" s="41" t="str" cm="1">
        <f t="array" ref="D6">_xlfn.LET( _xlpm.d,$A6,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ASHISH-1 / BANGLORE / REHERSAL / BIGBOSS</v>
      </c>
      <c r="E6" s="41" t="str" cm="1">
        <f t="array" ref="E6">_xlfn.LET( _xlpm.d,$A6,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ASHISH-1 / BANGLORE / REHERSAL / BIGBOSS | NILESH-2 / KOLKATA / REHERSAL / REALITY SHOW | ASHISH-5 / KOLKATA / REHERSAL / REALITY SHOW</v>
      </c>
      <c r="F6" s="41" t="str" cm="1">
        <f t="array" ref="F6">_xlfn.LET( _xlpm.d,$A6,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6" s="41" t="str" cm="1">
        <f t="array" ref="G6">_xlfn.LET( _xlpm.d,$A6,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6" s="41" t="str" cm="1">
        <f t="array" ref="H6">_xlfn.LET( _xlpm.d,$A6,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6" s="41" t="str" cm="1">
        <f t="array" ref="I6">_xlfn.LET( _xlpm.d,$A6,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6" s="30"/>
    </row>
    <row r="7" spans="1:10" ht="15" thickBot="1" x14ac:dyDescent="0.35">
      <c r="A7" s="45">
        <f t="shared" si="0"/>
        <v>45964</v>
      </c>
      <c r="B7" s="41" t="str" cm="1">
        <f t="array" ref="B7">_xlfn.LET( _xlpm.d,$A7,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VACATION: HOME</v>
      </c>
      <c r="C7" s="41" t="str" cm="1">
        <f t="array" ref="C7">_xlfn.LET( _xlpm.d,$A7,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VACATION: OUT</v>
      </c>
      <c r="D7" s="41" t="str" cm="1">
        <f t="array" ref="D7">_xlfn.LET( _xlpm.d,$A7,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ASHISH-2 / DELHI / SHOOT / BIGBOSS</v>
      </c>
      <c r="E7" s="41" t="str" cm="1">
        <f t="array" ref="E7">_xlfn.LET( _xlpm.d,$A7,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ASHISH-2 / DELHI / SHOOT / BIGBOSS</v>
      </c>
      <c r="F7" s="41" t="str" cm="1">
        <f t="array" ref="F7">_xlfn.LET( _xlpm.d,$A7,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7" s="41" t="str" cm="1">
        <f t="array" ref="G7">_xlfn.LET( _xlpm.d,$A7,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7" s="41" t="str" cm="1">
        <f t="array" ref="H7">_xlfn.LET( _xlpm.d,$A7,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7" s="41" t="str" cm="1">
        <f t="array" ref="I7">_xlfn.LET( _xlpm.d,$A7,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7" s="30"/>
    </row>
    <row r="8" spans="1:10" ht="15" thickBot="1" x14ac:dyDescent="0.35">
      <c r="A8" s="45">
        <f t="shared" si="0"/>
        <v>45965</v>
      </c>
      <c r="B8" s="41" t="str" cm="1">
        <f t="array" ref="B8">_xlfn.LET( _xlpm.d,$A8,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C8" s="41" t="str" cm="1">
        <f t="array" ref="C8">_xlfn.LET( _xlpm.d,$A8,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VACATION: OUT</v>
      </c>
      <c r="D8" s="41" t="str" cm="1">
        <f t="array" ref="D8">_xlfn.LET( _xlpm.d,$A8,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ASHISH-2 / DELHI / SHOOT / BIGBOSS</v>
      </c>
      <c r="E8" s="41" t="str" cm="1">
        <f t="array" ref="E8">_xlfn.LET( _xlpm.d,$A8,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ASHISH-2 / DELHI / SHOOT / BIGBOSS</v>
      </c>
      <c r="F8" s="41" t="str" cm="1">
        <f t="array" ref="F8">_xlfn.LET( _xlpm.d,$A8,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8" s="41" t="str" cm="1">
        <f t="array" ref="G8">_xlfn.LET( _xlpm.d,$A8,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8" s="41" t="str" cm="1">
        <f t="array" ref="H8">_xlfn.LET( _xlpm.d,$A8,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8" s="41" t="str" cm="1">
        <f t="array" ref="I8">_xlfn.LET( _xlpm.d,$A8,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8" s="30"/>
    </row>
    <row r="9" spans="1:10" ht="15" thickBot="1" x14ac:dyDescent="0.35">
      <c r="A9" s="45">
        <f t="shared" si="0"/>
        <v>45966</v>
      </c>
      <c r="B9" s="41" t="str" cm="1">
        <f t="array" ref="B9">_xlfn.LET( _xlpm.d,$A9,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MIHIR-1 / MUMBAI / SHOW / BIGBOSS</v>
      </c>
      <c r="C9" s="41" t="str" cm="1">
        <f t="array" ref="C9">_xlfn.LET( _xlpm.d,$A9,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CONFLICT: MIHIR-1 / MUMBAI / SHOW / BIGBOSS + VAC: OUT</v>
      </c>
      <c r="D9" s="41" t="str" cm="1">
        <f t="array" ref="D9">_xlfn.LET( _xlpm.d,$A9,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MIHIR-1 / MUMBAI / SHOW / BIGBOSS</v>
      </c>
      <c r="E9" s="41" t="str" cm="1">
        <f t="array" ref="E9">_xlfn.LET( _xlpm.d,$A9,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9" s="41" t="str" cm="1">
        <f t="array" ref="F9">_xlfn.LET( _xlpm.d,$A9,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9" s="41" t="str" cm="1">
        <f t="array" ref="G9">_xlfn.LET( _xlpm.d,$A9,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9" s="41" t="str" cm="1">
        <f t="array" ref="H9">_xlfn.LET( _xlpm.d,$A9,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9" s="41" t="str" cm="1">
        <f t="array" ref="I9">_xlfn.LET( _xlpm.d,$A9,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9" s="30"/>
    </row>
    <row r="10" spans="1:10" ht="15" thickBot="1" x14ac:dyDescent="0.35">
      <c r="A10" s="45">
        <f t="shared" si="0"/>
        <v>45967</v>
      </c>
      <c r="B10" s="41" t="str" cm="1">
        <f t="array" ref="B10">_xlfn.LET( _xlpm.d,$A10,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MIHIR-1 / MUMBAI / SHOW / BIGBOSS</v>
      </c>
      <c r="C10" s="41" t="str" cm="1">
        <f t="array" ref="C10">_xlfn.LET( _xlpm.d,$A10,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CONFLICT: MIHIR-1 / MUMBAI / SHOW / BIGBOSS + VAC: OUT</v>
      </c>
      <c r="D10" s="41" t="str" cm="1">
        <f t="array" ref="D10">_xlfn.LET( _xlpm.d,$A10,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MIHIR-1 / MUMBAI / SHOW / BIGBOSS</v>
      </c>
      <c r="E10" s="41" t="str" cm="1">
        <f t="array" ref="E10">_xlfn.LET( _xlpm.d,$A10,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10" s="41" t="str" cm="1">
        <f t="array" ref="F10">_xlfn.LET( _xlpm.d,$A10,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10" s="41" t="str" cm="1">
        <f t="array" ref="G10">_xlfn.LET( _xlpm.d,$A10,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10" s="41" t="str" cm="1">
        <f t="array" ref="H10">_xlfn.LET( _xlpm.d,$A10,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10" s="41" t="str" cm="1">
        <f t="array" ref="I10">_xlfn.LET( _xlpm.d,$A10,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10" s="30"/>
    </row>
    <row r="11" spans="1:10" ht="15" thickBot="1" x14ac:dyDescent="0.35">
      <c r="A11" s="45">
        <f t="shared" si="0"/>
        <v>45968</v>
      </c>
      <c r="B11" s="41" t="str" cm="1">
        <f t="array" ref="B11">_xlfn.LET( _xlpm.d,$A11,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MUFID-1 / DELHI / SHOOT / BIGBOSS</v>
      </c>
      <c r="C11" s="41" t="str" cm="1">
        <f t="array" ref="C11">_xlfn.LET( _xlpm.d,$A11,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CONFLICT: MUFID-1 / DELHI / SHOOT / BIGBOSS + VAC: OUT</v>
      </c>
      <c r="D11" s="41" t="str" cm="1">
        <f t="array" ref="D11">_xlfn.LET( _xlpm.d,$A11,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MUFID-1 / DELHI / SHOOT / BIGBOSS</v>
      </c>
      <c r="E11" s="41" t="str" cm="1">
        <f t="array" ref="E11">_xlfn.LET( _xlpm.d,$A11,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11" s="41" t="str" cm="1">
        <f t="array" ref="F11">_xlfn.LET( _xlpm.d,$A11,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11" s="41" t="str" cm="1">
        <f t="array" ref="G11">_xlfn.LET( _xlpm.d,$A11,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11" s="41" t="str" cm="1">
        <f t="array" ref="H11">_xlfn.LET( _xlpm.d,$A11,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11" s="41" t="str" cm="1">
        <f t="array" ref="I11">_xlfn.LET( _xlpm.d,$A11,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11" s="30"/>
    </row>
    <row r="12" spans="1:10" ht="15" thickBot="1" x14ac:dyDescent="0.35">
      <c r="A12" s="45">
        <f t="shared" si="0"/>
        <v>45969</v>
      </c>
      <c r="B12" s="41" t="str" cm="1">
        <f t="array" ref="B12">_xlfn.LET( _xlpm.d,$A12,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CONFLICT: MUFID-1 / DELHI / SHOOT / BIGBOSS + VAC: SICK</v>
      </c>
      <c r="C12" s="41" t="str" cm="1">
        <f t="array" ref="C12">_xlfn.LET( _xlpm.d,$A12,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CONFLICT: MUFID-1 / DELHI / SHOOT / BIGBOSS + VAC: OUT</v>
      </c>
      <c r="D12" s="41" t="str" cm="1">
        <f t="array" ref="D12">_xlfn.LET( _xlpm.d,$A12,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MUFID-1 / DELHI / SHOOT / BIGBOSS</v>
      </c>
      <c r="E12" s="41" t="str" cm="1">
        <f t="array" ref="E12">_xlfn.LET( _xlpm.d,$A12,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12" s="41" t="str" cm="1">
        <f t="array" ref="F12">_xlfn.LET( _xlpm.d,$A12,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12" s="41" t="str" cm="1">
        <f t="array" ref="G12">_xlfn.LET( _xlpm.d,$A12,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12" s="41" t="str" cm="1">
        <f t="array" ref="H12">_xlfn.LET( _xlpm.d,$A12,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12" s="41" t="str" cm="1">
        <f t="array" ref="I12">_xlfn.LET( _xlpm.d,$A12,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12" s="30"/>
    </row>
    <row r="13" spans="1:10" ht="15" thickBot="1" x14ac:dyDescent="0.35">
      <c r="A13" s="45">
        <f t="shared" si="0"/>
        <v>45970</v>
      </c>
      <c r="B13" s="41" t="str" cm="1">
        <f t="array" ref="B13">_xlfn.LET( _xlpm.d,$A13,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VACATION: SICK</v>
      </c>
      <c r="C13" s="41" t="str" cm="1">
        <f t="array" ref="C13">_xlfn.LET( _xlpm.d,$A13,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MUFID-2 / MUMBAI / SHOOT / BIGBOSS</v>
      </c>
      <c r="D13" s="41" t="str" cm="1">
        <f t="array" ref="D13">_xlfn.LET( _xlpm.d,$A13,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13" s="41" t="str" cm="1">
        <f t="array" ref="E13">_xlfn.LET( _xlpm.d,$A13,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13" s="41" t="str" cm="1">
        <f t="array" ref="F13">_xlfn.LET( _xlpm.d,$A13,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13" s="41" t="str" cm="1">
        <f t="array" ref="G13">_xlfn.LET( _xlpm.d,$A13,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13" s="41" t="str" cm="1">
        <f t="array" ref="H13">_xlfn.LET( _xlpm.d,$A13,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13" s="41" t="str" cm="1">
        <f t="array" ref="I13">_xlfn.LET( _xlpm.d,$A13,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13" s="30"/>
    </row>
    <row r="14" spans="1:10" ht="15" thickBot="1" x14ac:dyDescent="0.35">
      <c r="A14" s="45">
        <f t="shared" si="0"/>
        <v>45971</v>
      </c>
      <c r="B14" s="41" t="str" cm="1">
        <f t="array" ref="B14">_xlfn.LET( _xlpm.d,$A14,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C14" s="41" t="str" cm="1">
        <f t="array" ref="C14">_xlfn.LET( _xlpm.d,$A14,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MUFID-2 / MUMBAI / SHOOT / BIGBOSS</v>
      </c>
      <c r="D14" s="41" t="str" cm="1">
        <f t="array" ref="D14">_xlfn.LET( _xlpm.d,$A14,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14" s="41" t="str" cm="1">
        <f t="array" ref="E14">_xlfn.LET( _xlpm.d,$A14,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14" s="41" t="str" cm="1">
        <f t="array" ref="F14">_xlfn.LET( _xlpm.d,$A14,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14" s="41" t="str" cm="1">
        <f t="array" ref="G14">_xlfn.LET( _xlpm.d,$A14,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14" s="41" t="str" cm="1">
        <f t="array" ref="H14">_xlfn.LET( _xlpm.d,$A14,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14" s="41" t="str" cm="1">
        <f t="array" ref="I14">_xlfn.LET( _xlpm.d,$A14,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14" s="30"/>
    </row>
    <row r="15" spans="1:10" ht="15" thickBot="1" x14ac:dyDescent="0.35">
      <c r="A15" s="45">
        <f t="shared" si="0"/>
        <v>45972</v>
      </c>
      <c r="B15" s="41" t="str" cm="1">
        <f t="array" ref="B15">_xlfn.LET( _xlpm.d,$A15,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C15" s="41" t="str" cm="1">
        <f t="array" ref="C15">_xlfn.LET( _xlpm.d,$A15,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D15" s="41" t="str" cm="1">
        <f t="array" ref="D15">_xlfn.LET( _xlpm.d,$A15,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15" s="41" t="str" cm="1">
        <f t="array" ref="E15">_xlfn.LET( _xlpm.d,$A15,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15" s="41" t="str" cm="1">
        <f t="array" ref="F15">_xlfn.LET( _xlpm.d,$A15,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15" s="41" t="str" cm="1">
        <f t="array" ref="G15">_xlfn.LET( _xlpm.d,$A15,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15" s="41" t="str" cm="1">
        <f t="array" ref="H15">_xlfn.LET( _xlpm.d,$A15,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15" s="41" t="str" cm="1">
        <f t="array" ref="I15">_xlfn.LET( _xlpm.d,$A15,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15" s="30"/>
    </row>
    <row r="16" spans="1:10" ht="15" thickBot="1" x14ac:dyDescent="0.35">
      <c r="A16" s="45">
        <f t="shared" si="0"/>
        <v>45973</v>
      </c>
      <c r="B16" s="41" t="str" cm="1">
        <f t="array" ref="B16">_xlfn.LET( _xlpm.d,$A16,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C16" s="41" t="str" cm="1">
        <f t="array" ref="C16">_xlfn.LET( _xlpm.d,$A16,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D16" s="41" t="str" cm="1">
        <f t="array" ref="D16">_xlfn.LET( _xlpm.d,$A16,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16" s="41" t="str" cm="1">
        <f t="array" ref="E16">_xlfn.LET( _xlpm.d,$A16,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16" s="41" t="str" cm="1">
        <f t="array" ref="F16">_xlfn.LET( _xlpm.d,$A16,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NILESH-3 / KOLKATA / REHERSAL / REALITY SHOW</v>
      </c>
      <c r="G16" s="41" t="str" cm="1">
        <f t="array" ref="G16">_xlfn.LET( _xlpm.d,$A16,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16" s="41" t="str" cm="1">
        <f t="array" ref="H16">_xlfn.LET( _xlpm.d,$A16,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16" s="41" t="str" cm="1">
        <f t="array" ref="I16">_xlfn.LET( _xlpm.d,$A16,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VICKY-2 / PUNE / SHOOT / AD FILM</v>
      </c>
      <c r="J16" s="30"/>
    </row>
    <row r="17" spans="1:10" ht="15" thickBot="1" x14ac:dyDescent="0.35">
      <c r="A17" s="45">
        <f t="shared" si="0"/>
        <v>45974</v>
      </c>
      <c r="B17" s="41" t="str" cm="1">
        <f t="array" ref="B17">_xlfn.LET( _xlpm.d,$A17,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SANDY-1 / GOA / SHOOT / SERIES</v>
      </c>
      <c r="C17" s="41" t="str" cm="1">
        <f t="array" ref="C17">_xlfn.LET( _xlpm.d,$A17,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SANDY-1 / GOA / SHOOT / SERIES</v>
      </c>
      <c r="D17" s="41" t="str" cm="1">
        <f t="array" ref="D17">_xlfn.LET( _xlpm.d,$A17,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17" s="41" t="str" cm="1">
        <f t="array" ref="E17">_xlfn.LET( _xlpm.d,$A17,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17" s="41" t="str" cm="1">
        <f t="array" ref="F17">_xlfn.LET( _xlpm.d,$A17,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NILESH-3 / KOLKATA / REHERSAL / REALITY SHOW</v>
      </c>
      <c r="G17" s="41" t="str" cm="1">
        <f t="array" ref="G17">_xlfn.LET( _xlpm.d,$A17,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17" s="41" t="str" cm="1">
        <f t="array" ref="H17">_xlfn.LET( _xlpm.d,$A17,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17" s="41" t="str" cm="1">
        <f t="array" ref="I17">_xlfn.LET( _xlpm.d,$A17,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VICKY-2 / PUNE / SHOOT / AD FILM</v>
      </c>
      <c r="J17" s="30"/>
    </row>
    <row r="18" spans="1:10" ht="15" thickBot="1" x14ac:dyDescent="0.35">
      <c r="A18" s="45">
        <f t="shared" si="0"/>
        <v>45975</v>
      </c>
      <c r="B18" s="41" t="str" cm="1">
        <f t="array" ref="B18">_xlfn.LET( _xlpm.d,$A18,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SANDY-1 / GOA / SHOOT / SERIES</v>
      </c>
      <c r="C18" s="41" t="str" cm="1">
        <f t="array" ref="C18">_xlfn.LET( _xlpm.d,$A18,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SANDY-1 / GOA / SHOOT / SERIES</v>
      </c>
      <c r="D18" s="41" t="str" cm="1">
        <f t="array" ref="D18">_xlfn.LET( _xlpm.d,$A18,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18" s="41" t="str" cm="1">
        <f t="array" ref="E18">_xlfn.LET( _xlpm.d,$A18,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18" s="41" t="str" cm="1">
        <f t="array" ref="F18">_xlfn.LET( _xlpm.d,$A18,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18" s="41" t="str" cm="1">
        <f t="array" ref="G18">_xlfn.LET( _xlpm.d,$A18,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18" s="41" t="str" cm="1">
        <f t="array" ref="H18">_xlfn.LET( _xlpm.d,$A18,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18" s="41" t="str" cm="1">
        <f t="array" ref="I18">_xlfn.LET( _xlpm.d,$A18,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18" s="30"/>
    </row>
    <row r="19" spans="1:10" ht="15" thickBot="1" x14ac:dyDescent="0.35">
      <c r="A19" s="45">
        <f t="shared" si="0"/>
        <v>45976</v>
      </c>
      <c r="B19" s="41" t="str" cm="1">
        <f t="array" ref="B19">_xlfn.LET( _xlpm.d,$A19,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VICKY-1 / HYDERABAD / SHOOT / MOVIE</v>
      </c>
      <c r="C19" s="41" t="str" cm="1">
        <f t="array" ref="C19">_xlfn.LET( _xlpm.d,$A19,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VICKY-1 / HYDERABAD / SHOOT / MOVIE</v>
      </c>
      <c r="D19" s="41" t="str" cm="1">
        <f t="array" ref="D19">_xlfn.LET( _xlpm.d,$A19,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VACATION: SICK</v>
      </c>
      <c r="E19" s="41" t="str" cm="1">
        <f t="array" ref="E19">_xlfn.LET( _xlpm.d,$A19,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19" s="41" t="str" cm="1">
        <f t="array" ref="F19">_xlfn.LET( _xlpm.d,$A19,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19" s="41" t="str" cm="1">
        <f t="array" ref="G19">_xlfn.LET( _xlpm.d,$A19,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19" s="41" t="str" cm="1">
        <f t="array" ref="H19">_xlfn.LET( _xlpm.d,$A19,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19" s="41" t="str" cm="1">
        <f t="array" ref="I19">_xlfn.LET( _xlpm.d,$A19,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19" s="30"/>
    </row>
    <row r="20" spans="1:10" ht="15" thickBot="1" x14ac:dyDescent="0.35">
      <c r="A20" s="45">
        <f t="shared" si="0"/>
        <v>45977</v>
      </c>
      <c r="B20" s="41" t="str" cm="1">
        <f t="array" ref="B20">_xlfn.LET( _xlpm.d,$A20,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VICKY-1 / HYDERABAD / SHOOT / MOVIE</v>
      </c>
      <c r="C20" s="41" t="str" cm="1">
        <f t="array" ref="C20">_xlfn.LET( _xlpm.d,$A20,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VICKY-1 / HYDERABAD / SHOOT / MOVIE</v>
      </c>
      <c r="D20" s="41" t="str" cm="1">
        <f t="array" ref="D20">_xlfn.LET( _xlpm.d,$A20,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VACATION: SICK</v>
      </c>
      <c r="E20" s="41" t="str" cm="1">
        <f t="array" ref="E20">_xlfn.LET( _xlpm.d,$A20,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20" s="41" t="str" cm="1">
        <f t="array" ref="F20">_xlfn.LET( _xlpm.d,$A20,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20" s="41" t="str" cm="1">
        <f t="array" ref="G20">_xlfn.LET( _xlpm.d,$A20,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20" s="41" t="str" cm="1">
        <f t="array" ref="H20">_xlfn.LET( _xlpm.d,$A20,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20" s="41" t="str" cm="1">
        <f t="array" ref="I20">_xlfn.LET( _xlpm.d,$A20,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20" s="30"/>
    </row>
    <row r="21" spans="1:10" ht="15" thickBot="1" x14ac:dyDescent="0.35">
      <c r="A21" s="45">
        <f t="shared" si="0"/>
        <v>45978</v>
      </c>
      <c r="B21" s="41" t="str" cm="1">
        <f t="array" ref="B21">_xlfn.LET( _xlpm.d,$A21,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ASHISH-3 / CHENNAI / SHOOT / AD FILM</v>
      </c>
      <c r="C21" s="41" t="str" cm="1">
        <f t="array" ref="C21">_xlfn.LET( _xlpm.d,$A21,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ASHISH-3 / CHENNAI / SHOOT / AD FILM</v>
      </c>
      <c r="D21" s="41" t="str" cm="1">
        <f t="array" ref="D21">_xlfn.LET( _xlpm.d,$A21,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21" s="41" t="str" cm="1">
        <f t="array" ref="E21">_xlfn.LET( _xlpm.d,$A21,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21" s="41" t="str" cm="1">
        <f t="array" ref="F21">_xlfn.LET( _xlpm.d,$A21,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21" s="41" t="str" cm="1">
        <f t="array" ref="G21">_xlfn.LET( _xlpm.d,$A21,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21" s="41" t="str" cm="1">
        <f t="array" ref="H21">_xlfn.LET( _xlpm.d,$A21,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21" s="41" t="str" cm="1">
        <f t="array" ref="I21">_xlfn.LET( _xlpm.d,$A21,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21" s="30"/>
    </row>
    <row r="22" spans="1:10" ht="15" thickBot="1" x14ac:dyDescent="0.35">
      <c r="A22" s="45">
        <f t="shared" si="0"/>
        <v>45979</v>
      </c>
      <c r="B22" s="41" t="str" cm="1">
        <f t="array" ref="B22">_xlfn.LET( _xlpm.d,$A22,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ASHISH-3 / CHENNAI / SHOOT / AD FILM</v>
      </c>
      <c r="C22" s="41" t="str" cm="1">
        <f t="array" ref="C22">_xlfn.LET( _xlpm.d,$A22,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ASHISH-3 / CHENNAI / SHOOT / AD FILM</v>
      </c>
      <c r="D22" s="41" t="str" cm="1">
        <f t="array" ref="D22">_xlfn.LET( _xlpm.d,$A22,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22" s="41" t="str" cm="1">
        <f t="array" ref="E22">_xlfn.LET( _xlpm.d,$A22,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22" s="41" t="str" cm="1">
        <f t="array" ref="F22">_xlfn.LET( _xlpm.d,$A22,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22" s="41" t="str" cm="1">
        <f t="array" ref="G22">_xlfn.LET( _xlpm.d,$A22,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22" s="41" t="str" cm="1">
        <f t="array" ref="H22">_xlfn.LET( _xlpm.d,$A22,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22" s="41" t="str" cm="1">
        <f t="array" ref="I22">_xlfn.LET( _xlpm.d,$A22,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22" s="30"/>
    </row>
    <row r="23" spans="1:10" ht="15" thickBot="1" x14ac:dyDescent="0.35">
      <c r="A23" s="45">
        <f t="shared" si="0"/>
        <v>45980</v>
      </c>
      <c r="B23" s="41" t="str" cm="1">
        <f t="array" ref="B23">_xlfn.LET( _xlpm.d,$A23,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C23" s="41" t="str" cm="1">
        <f t="array" ref="C23">_xlfn.LET( _xlpm.d,$A23,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NILESH-1 / PUNE / SHOOT / REALITY SHOW</v>
      </c>
      <c r="D23" s="41" t="str" cm="1">
        <f t="array" ref="D23">_xlfn.LET( _xlpm.d,$A23,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23" s="41" t="str" cm="1">
        <f t="array" ref="E23">_xlfn.LET( _xlpm.d,$A23,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NILESH-1 / PUNE / SHOOT / REALITY SHOW</v>
      </c>
      <c r="F23" s="41" t="str" cm="1">
        <f t="array" ref="F23">_xlfn.LET( _xlpm.d,$A23,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23" s="41" t="str" cm="1">
        <f t="array" ref="G23">_xlfn.LET( _xlpm.d,$A23,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23" s="41" t="str" cm="1">
        <f t="array" ref="H23">_xlfn.LET( _xlpm.d,$A23,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23" s="41" t="str" cm="1">
        <f t="array" ref="I23">_xlfn.LET( _xlpm.d,$A23,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23" s="30"/>
    </row>
    <row r="24" spans="1:10" ht="15" thickBot="1" x14ac:dyDescent="0.35">
      <c r="A24" s="45">
        <f t="shared" si="0"/>
        <v>45981</v>
      </c>
      <c r="B24" s="41" t="str" cm="1">
        <f t="array" ref="B24">_xlfn.LET( _xlpm.d,$A24,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C24" s="41" t="str" cm="1">
        <f t="array" ref="C24">_xlfn.LET( _xlpm.d,$A24,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NILESH-1 / PUNE / SHOOT / REALITY SHOW</v>
      </c>
      <c r="D24" s="41" t="str" cm="1">
        <f t="array" ref="D24">_xlfn.LET( _xlpm.d,$A24,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24" s="41" t="str" cm="1">
        <f t="array" ref="E24">_xlfn.LET( _xlpm.d,$A24,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NILESH-1 / PUNE / SHOOT / REALITY SHOW</v>
      </c>
      <c r="F24" s="41" t="str" cm="1">
        <f t="array" ref="F24">_xlfn.LET( _xlpm.d,$A24,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24" s="41" t="str" cm="1">
        <f t="array" ref="G24">_xlfn.LET( _xlpm.d,$A24,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24" s="41" t="str" cm="1">
        <f t="array" ref="H24">_xlfn.LET( _xlpm.d,$A24,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24" s="41" t="str" cm="1">
        <f t="array" ref="I24">_xlfn.LET( _xlpm.d,$A24,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24" s="30"/>
    </row>
    <row r="25" spans="1:10" ht="15" thickBot="1" x14ac:dyDescent="0.35">
      <c r="A25" s="45">
        <f t="shared" si="0"/>
        <v>45982</v>
      </c>
      <c r="B25" s="41" t="str" cm="1">
        <f t="array" ref="B25">_xlfn.LET( _xlpm.d,$A25,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ASHISH-4 / KOLKATA / SHOOT / MUSIC VIDEO</v>
      </c>
      <c r="C25" s="41" t="str" cm="1">
        <f t="array" ref="C25">_xlfn.LET( _xlpm.d,$A25,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ASHISH-4 / KOLKATA / SHOOT / MUSIC VIDEO</v>
      </c>
      <c r="D25" s="41" t="str" cm="1">
        <f t="array" ref="D25">_xlfn.LET( _xlpm.d,$A25,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25" s="41" t="str" cm="1">
        <f t="array" ref="E25">_xlfn.LET( _xlpm.d,$A25,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25" s="41" t="str" cm="1">
        <f t="array" ref="F25">_xlfn.LET( _xlpm.d,$A25,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25" s="41" t="str" cm="1">
        <f t="array" ref="G25">_xlfn.LET( _xlpm.d,$A25,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25" s="41" t="str" cm="1">
        <f t="array" ref="H25">_xlfn.LET( _xlpm.d,$A25,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25" s="41" t="str" cm="1">
        <f t="array" ref="I25">_xlfn.LET( _xlpm.d,$A25,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25" s="30"/>
    </row>
    <row r="26" spans="1:10" ht="15" thickBot="1" x14ac:dyDescent="0.35">
      <c r="A26" s="45">
        <f t="shared" si="0"/>
        <v>45983</v>
      </c>
      <c r="B26" s="41" t="str" cm="1">
        <f t="array" ref="B26">_xlfn.LET( _xlpm.d,$A26,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ASHISH-4 / KOLKATA / SHOOT / MUSIC VIDEO</v>
      </c>
      <c r="C26" s="41" t="str" cm="1">
        <f t="array" ref="C26">_xlfn.LET( _xlpm.d,$A26,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BOOKED: ASHISH-4 / KOLKATA / SHOOT / MUSIC VIDEO</v>
      </c>
      <c r="D26" s="41" t="str" cm="1">
        <f t="array" ref="D26">_xlfn.LET( _xlpm.d,$A26,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26" s="41" t="str" cm="1">
        <f t="array" ref="E26">_xlfn.LET( _xlpm.d,$A26,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26" s="41" t="str" cm="1">
        <f t="array" ref="F26">_xlfn.LET( _xlpm.d,$A26,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26" s="41" t="str" cm="1">
        <f t="array" ref="G26">_xlfn.LET( _xlpm.d,$A26,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26" s="41" t="str" cm="1">
        <f t="array" ref="H26">_xlfn.LET( _xlpm.d,$A26,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26" s="41" t="str" cm="1">
        <f t="array" ref="I26">_xlfn.LET( _xlpm.d,$A26,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26" s="30"/>
    </row>
    <row r="27" spans="1:10" ht="15" thickBot="1" x14ac:dyDescent="0.35">
      <c r="A27" s="45">
        <f t="shared" si="0"/>
        <v>45984</v>
      </c>
      <c r="B27" s="41" t="str" cm="1">
        <f t="array" ref="B27">_xlfn.LET( _xlpm.d,$A27,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C27" s="41" t="str" cm="1">
        <f t="array" ref="C27">_xlfn.LET( _xlpm.d,$A27,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D27" s="41" t="str" cm="1">
        <f t="array" ref="D27">_xlfn.LET( _xlpm.d,$A27,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27" s="41" t="str" cm="1">
        <f t="array" ref="E27">_xlfn.LET( _xlpm.d,$A27,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27" s="41" t="str" cm="1">
        <f t="array" ref="F27">_xlfn.LET( _xlpm.d,$A27,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27" s="41" t="str" cm="1">
        <f t="array" ref="G27">_xlfn.LET( _xlpm.d,$A27,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27" s="41" t="str" cm="1">
        <f t="array" ref="H27">_xlfn.LET( _xlpm.d,$A27,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27" s="41" t="str" cm="1">
        <f t="array" ref="I27">_xlfn.LET( _xlpm.d,$A27,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27" s="30"/>
    </row>
    <row r="28" spans="1:10" ht="15" thickBot="1" x14ac:dyDescent="0.35">
      <c r="A28" s="45">
        <f t="shared" si="0"/>
        <v>45985</v>
      </c>
      <c r="B28" s="41" t="str" cm="1">
        <f t="array" ref="B28">_xlfn.LET( _xlpm.d,$A28,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C28" s="41" t="str" cm="1">
        <f t="array" ref="C28">_xlfn.LET( _xlpm.d,$A28,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D28" s="41" t="str" cm="1">
        <f t="array" ref="D28">_xlfn.LET( _xlpm.d,$A28,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28" s="41" t="str" cm="1">
        <f t="array" ref="E28">_xlfn.LET( _xlpm.d,$A28,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28" s="41" t="str" cm="1">
        <f t="array" ref="F28">_xlfn.LET( _xlpm.d,$A28,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28" s="41" t="str" cm="1">
        <f t="array" ref="G28">_xlfn.LET( _xlpm.d,$A28,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28" s="41" t="str" cm="1">
        <f t="array" ref="H28">_xlfn.LET( _xlpm.d,$A28,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28" s="41" t="str" cm="1">
        <f t="array" ref="I28">_xlfn.LET( _xlpm.d,$A28,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28" s="30"/>
    </row>
    <row r="29" spans="1:10" ht="15" thickBot="1" x14ac:dyDescent="0.35">
      <c r="A29" s="45">
        <f t="shared" si="0"/>
        <v>45986</v>
      </c>
      <c r="B29" s="41" t="str" cm="1">
        <f t="array" ref="B29">_xlfn.LET( _xlpm.d,$A29,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C29" s="41" t="str" cm="1">
        <f t="array" ref="C29">_xlfn.LET( _xlpm.d,$A29,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D29" s="41" t="str" cm="1">
        <f t="array" ref="D29">_xlfn.LET( _xlpm.d,$A29,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29" s="41" t="str" cm="1">
        <f t="array" ref="E29">_xlfn.LET( _xlpm.d,$A29,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29" s="41" t="str" cm="1">
        <f t="array" ref="F29">_xlfn.LET( _xlpm.d,$A29,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29" s="41" t="str" cm="1">
        <f t="array" ref="G29">_xlfn.LET( _xlpm.d,$A29,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29" s="41" t="str" cm="1">
        <f t="array" ref="H29">_xlfn.LET( _xlpm.d,$A29,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29" s="41" t="str" cm="1">
        <f t="array" ref="I29">_xlfn.LET( _xlpm.d,$A29,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29" s="30"/>
    </row>
    <row r="30" spans="1:10" ht="15" thickBot="1" x14ac:dyDescent="0.35">
      <c r="A30" s="45">
        <f t="shared" si="0"/>
        <v>45987</v>
      </c>
      <c r="B30" s="41" t="str" cm="1">
        <f t="array" ref="B30">_xlfn.LET( _xlpm.d,$A30,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C30" s="41" t="str" cm="1">
        <f t="array" ref="C30">_xlfn.LET( _xlpm.d,$A30,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D30" s="41" t="str" cm="1">
        <f t="array" ref="D30">_xlfn.LET( _xlpm.d,$A30,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30" s="41" t="str" cm="1">
        <f t="array" ref="E30">_xlfn.LET( _xlpm.d,$A30,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30" s="41" t="str" cm="1">
        <f t="array" ref="F30">_xlfn.LET( _xlpm.d,$A30,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30" s="41" t="str" cm="1">
        <f t="array" ref="G30">_xlfn.LET( _xlpm.d,$A30,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30" s="41" t="str" cm="1">
        <f t="array" ref="H30">_xlfn.LET( _xlpm.d,$A30,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30" s="41" t="str" cm="1">
        <f t="array" ref="I30">_xlfn.LET( _xlpm.d,$A30,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30" s="30"/>
    </row>
    <row r="31" spans="1:10" ht="15" thickBot="1" x14ac:dyDescent="0.35">
      <c r="A31" s="45">
        <f t="shared" si="0"/>
        <v>45988</v>
      </c>
      <c r="B31" s="41" t="str" cm="1">
        <f t="array" ref="B31">_xlfn.LET( _xlpm.d,$A31,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C31" s="41" t="str" cm="1">
        <f t="array" ref="C31">_xlfn.LET( _xlpm.d,$A31,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D31" s="41" t="str" cm="1">
        <f t="array" ref="D31">_xlfn.LET( _xlpm.d,$A31,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31" s="41" t="str" cm="1">
        <f t="array" ref="E31">_xlfn.LET( _xlpm.d,$A31,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31" s="41" t="str" cm="1">
        <f t="array" ref="F31">_xlfn.LET( _xlpm.d,$A31,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31" s="41" t="str" cm="1">
        <f t="array" ref="G31">_xlfn.LET( _xlpm.d,$A31,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31" s="41" t="str" cm="1">
        <f t="array" ref="H31">_xlfn.LET( _xlpm.d,$A31,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31" s="41" t="str" cm="1">
        <f t="array" ref="I31">_xlfn.LET( _xlpm.d,$A31,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31" s="30"/>
    </row>
    <row r="32" spans="1:10" ht="15" thickBot="1" x14ac:dyDescent="0.35">
      <c r="A32" s="45">
        <f t="shared" si="0"/>
        <v>45989</v>
      </c>
      <c r="B32" s="41" t="str" cm="1">
        <f t="array" ref="B32">_xlfn.LET( _xlpm.d,$A32,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C32" s="41" t="str" cm="1">
        <f t="array" ref="C32">_xlfn.LET( _xlpm.d,$A32,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D32" s="41" t="str" cm="1">
        <f t="array" ref="D32">_xlfn.LET( _xlpm.d,$A32,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32" s="41" t="str" cm="1">
        <f t="array" ref="E32">_xlfn.LET( _xlpm.d,$A32,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32" s="41" t="str" cm="1">
        <f t="array" ref="F32">_xlfn.LET( _xlpm.d,$A32,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32" s="41" t="str" cm="1">
        <f t="array" ref="G32">_xlfn.LET( _xlpm.d,$A32,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32" s="41" t="str" cm="1">
        <f t="array" ref="H32">_xlfn.LET( _xlpm.d,$A32,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32" s="41" t="str" cm="1">
        <f t="array" ref="I32">_xlfn.LET( _xlpm.d,$A32,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32" s="30"/>
    </row>
    <row r="33" spans="1:10" ht="15" thickBot="1" x14ac:dyDescent="0.35">
      <c r="A33" s="45">
        <f t="shared" si="0"/>
        <v>45990</v>
      </c>
      <c r="B33" s="41" t="str" cm="1">
        <f t="array" ref="B33">_xlfn.LET( _xlpm.d,$A33,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C33" s="41" t="str" cm="1">
        <f t="array" ref="C33">_xlfn.LET( _xlpm.d,$A33,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D33" s="41" t="str" cm="1">
        <f t="array" ref="D33">_xlfn.LET( _xlpm.d,$A33,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33" s="41" t="str" cm="1">
        <f t="array" ref="E33">_xlfn.LET( _xlpm.d,$A33,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33" s="41" t="str" cm="1">
        <f t="array" ref="F33">_xlfn.LET( _xlpm.d,$A33,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33" s="41" t="str" cm="1">
        <f t="array" ref="G33">_xlfn.LET( _xlpm.d,$A33,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33" s="41" t="str" cm="1">
        <f t="array" ref="H33">_xlfn.LET( _xlpm.d,$A33,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33" s="41" t="str" cm="1">
        <f t="array" ref="I33">_xlfn.LET( _xlpm.d,$A33,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33" s="30"/>
    </row>
    <row r="34" spans="1:10" ht="15" thickBot="1" x14ac:dyDescent="0.35">
      <c r="A34" s="45">
        <f t="shared" si="0"/>
        <v>45991</v>
      </c>
      <c r="B34" s="41" t="str" cm="1">
        <f t="array" ref="B34">_xlfn.LET( _xlpm.d,$A34,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C34" s="41" t="str" cm="1">
        <f t="array" ref="C34">_xlfn.LET( _xlpm.d,$A34,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D34" s="41" t="str" cm="1">
        <f t="array" ref="D34">_xlfn.LET( _xlpm.d,$A34,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34" s="41" t="str" cm="1">
        <f t="array" ref="E34">_xlfn.LET( _xlpm.d,$A34,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34" s="41" t="str" cm="1">
        <f t="array" ref="F34">_xlfn.LET( _xlpm.d,$A34,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34" s="41" t="str" cm="1">
        <f t="array" ref="G34">_xlfn.LET( _xlpm.d,$A34,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34" s="41" t="str" cm="1">
        <f t="array" ref="H34">_xlfn.LET( _xlpm.d,$A34,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34" s="41" t="str" cm="1">
        <f t="array" ref="I34">_xlfn.LET( _xlpm.d,$A34,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34" s="30"/>
    </row>
    <row r="35" spans="1:10" ht="15" thickBot="1" x14ac:dyDescent="0.35">
      <c r="A35" s="45">
        <f t="shared" si="0"/>
        <v>45992</v>
      </c>
      <c r="B35" s="41" t="str" cm="1">
        <f t="array" ref="B35">_xlfn.LET( _xlpm.d,$A35, _xlpm.artist,B$4,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C35" s="41" t="str" cm="1">
        <f t="array" ref="C35">_xlfn.LET( _xlpm.d,$A35, _xlpm.artist,C$4,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D35" s="41" t="str" cm="1">
        <f t="array" ref="D35">_xlfn.LET( _xlpm.d,$A35, _xlpm.artist,D$4,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E35" s="41" t="str" cm="1">
        <f t="array" ref="E35">_xlfn.LET( _xlpm.d,$A35, _xlpm.artist,E$4,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F35" s="41" t="str" cm="1">
        <f t="array" ref="F35">_xlfn.LET( _xlpm.d,$A35, _xlpm.artist,F$4,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G35" s="41" t="str" cm="1">
        <f t="array" ref="G35">_xlfn.LET( _xlpm.d,$A35, _xlpm.artist,G$4,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H35" s="41" t="str" cm="1">
        <f t="array" ref="H35">_xlfn.LET( _xlpm.d,$A35, _xlpm.artist,H$4,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I35" s="41" t="str" cm="1">
        <f t="array" ref="I35">_xlfn.LET( _xlpm.d,$A35, _xlpm.artist,I$4, _xlpm.bookedCount,COUNTIFS(SHOOTS!$I$2:$I$1004,"*"&amp;_xlpm.artist&amp;"*",SHOOTS!$J$2:$J$1004,"&lt;="&amp;_xlpm.d,SHOOTS!$K$2:$K$1004,"&gt;="&amp;_xlpm.d), _xlpm.vacCount,COUNTIFS(VACATIONS!$B$2:$B$1000,_xlpm.artist,VACATIONS!$E$2:$E$1000,"&lt;="&amp;_xlpm.d,VACATIONS!$F$2:$F$1000,"&gt;="&amp;_xlpm.d), _xlpm.bookedRows,IF(_xlpm.bookedCount=0,"",_xlfn._xlws.FILTER(SHOOTS!$A$2:$Q$1004,(ISNUMBER(SEARCH(_xlpm.artist,SHOOTS!$I$2:$I$1004))*(SHOOTS!$J$2:$J$1004&lt;=_xlpm.d)*(SHOOTS!$K$2:$K$1004&gt;=_xlpm.d)),"")), _xlpm.vacRows,IF(_xlpm.vacCount=0,"",_xlfn._xlws.FILTER(VACATIONS!$A$2:$F$1000,(VACATIONS!$B$2:$B$1000=_xlpm.artist)*(VACATIONS!$E$2:$E$1000&lt;=_xlpm.d)*(VACATIONS!$F$2:$F$1000&gt;=_xlpm.d),"")), _xlpm.bookedTxt,IF(_xlpm.bookedCount=0,"",_xlfn.TEXTJOIN(" | ",TRUE,INDEX(_xlpm.bookedRows,,4)&amp;" / "&amp;INDEX(_xlpm.bookedRows,,5)&amp;" / "&amp;INDEX(_xlpm.bookedRows,,6)&amp;" / "&amp;INDEX(_xlpm.bookedRows,,7))), _xlpm.vacTxt,IF(_xlpm.vacCount=0,"",_xlfn.TEXTJOIN(" | ",TRUE,INDEX(_xlpm.vacRows,,4))), IF(_xlpm.bookedCount&gt;0, IF(_xlpm.vacCount&gt;0,"CONFLICT: "&amp;_xlpm.bookedTxt&amp;" + VAC: "&amp;_xlpm.vacTxt,"BOOKED: "&amp;_xlpm.bookedTxt), IF(_xlpm.vacCount&gt;0,"VACATION: "&amp;_xlpm.vacTxt,"AVAILABLE") ) )</f>
        <v>AVAILABLE</v>
      </c>
      <c r="J35" s="30"/>
    </row>
    <row r="36" spans="1:10" x14ac:dyDescent="0.3">
      <c r="A36" s="28" t="str">
        <f t="shared" ref="A36:A37" si="1">IF(ROW()-4 &gt; DAY(EOMONTH(DATE($D$1, MONTH(DATEVALUE("1-"&amp;$B$1)), 1), 0)), "", ROW()-4)</f>
        <v/>
      </c>
      <c r="B36" s="28"/>
      <c r="C36" s="28"/>
      <c r="D36" s="28"/>
      <c r="E36" s="28"/>
      <c r="F36" s="28"/>
      <c r="G36" s="28"/>
      <c r="H36" s="28"/>
      <c r="I36" s="28"/>
    </row>
    <row r="37" spans="1:10" x14ac:dyDescent="0.3">
      <c r="A37" s="1" t="str">
        <f t="shared" si="1"/>
        <v/>
      </c>
    </row>
  </sheetData>
  <mergeCells count="1">
    <mergeCell ref="A3:I3"/>
  </mergeCells>
  <phoneticPr fontId="2" type="noConversion"/>
  <conditionalFormatting sqref="B5:I35">
    <cfRule type="containsText" dxfId="13" priority="14" operator="containsText" text="BOOKED">
      <formula>NOT(ISERROR(SEARCH("BOOKED",B5)))</formula>
    </cfRule>
  </conditionalFormatting>
  <conditionalFormatting sqref="B5:I35">
    <cfRule type="containsText" dxfId="12" priority="13" operator="containsText" text="VACATION">
      <formula>NOT(ISERROR(SEARCH("VACATION",B5)))</formula>
    </cfRule>
  </conditionalFormatting>
  <conditionalFormatting sqref="B5:I35">
    <cfRule type="containsText" dxfId="11" priority="12" operator="containsText" text="AVAILABLE">
      <formula>NOT(ISERROR(SEARCH("AVAILABLE",B5)))</formula>
    </cfRule>
  </conditionalFormatting>
  <conditionalFormatting sqref="F1">
    <cfRule type="containsText" dxfId="10" priority="11" operator="containsText" text="BOOKED">
      <formula>NOT(ISERROR(SEARCH("BOOKED",F1)))</formula>
    </cfRule>
  </conditionalFormatting>
  <conditionalFormatting sqref="F1">
    <cfRule type="containsText" dxfId="9" priority="10" operator="containsText" text="VACATION">
      <formula>NOT(ISERROR(SEARCH("VACATION",F1)))</formula>
    </cfRule>
  </conditionalFormatting>
  <conditionalFormatting sqref="F1">
    <cfRule type="containsText" dxfId="8" priority="9" operator="containsText" text="AVAILABLE">
      <formula>NOT(ISERROR(SEARCH("AVAILABLE",F1)))</formula>
    </cfRule>
  </conditionalFormatting>
  <conditionalFormatting sqref="G1">
    <cfRule type="containsText" dxfId="7" priority="8" operator="containsText" text="BOOKED">
      <formula>NOT(ISERROR(SEARCH("BOOKED",G1)))</formula>
    </cfRule>
  </conditionalFormatting>
  <conditionalFormatting sqref="G1">
    <cfRule type="containsText" dxfId="6" priority="7" operator="containsText" text="VACATION">
      <formula>NOT(ISERROR(SEARCH("VACATION",G1)))</formula>
    </cfRule>
  </conditionalFormatting>
  <conditionalFormatting sqref="G1">
    <cfRule type="containsText" dxfId="5" priority="6" operator="containsText" text="AVAILABLE">
      <formula>NOT(ISERROR(SEARCH("AVAILABLE",G1)))</formula>
    </cfRule>
  </conditionalFormatting>
  <conditionalFormatting sqref="H1">
    <cfRule type="containsText" dxfId="4" priority="5" operator="containsText" text="BOOKED">
      <formula>NOT(ISERROR(SEARCH("BOOKED",H1)))</formula>
    </cfRule>
  </conditionalFormatting>
  <conditionalFormatting sqref="H1">
    <cfRule type="containsText" dxfId="3" priority="4" operator="containsText" text="VACATION">
      <formula>NOT(ISERROR(SEARCH("VACATION",H1)))</formula>
    </cfRule>
  </conditionalFormatting>
  <conditionalFormatting sqref="H1">
    <cfRule type="containsText" dxfId="2" priority="3" operator="containsText" text="AVAILABLE">
      <formula>NOT(ISERROR(SEARCH("AVAILABLE",H1)))</formula>
    </cfRule>
  </conditionalFormatting>
  <conditionalFormatting sqref="I1">
    <cfRule type="containsText" dxfId="1" priority="2" operator="containsText" text="CONFLICT">
      <formula>NOT(ISERROR(SEARCH("CONFLICT",I1)))</formula>
    </cfRule>
  </conditionalFormatting>
  <conditionalFormatting sqref="B5:I35">
    <cfRule type="containsText" dxfId="0" priority="1" operator="containsText" text="CONFLICT">
      <formula>NOT(ISERROR(SEARCH("CONFLICT",B5)))</formula>
    </cfRule>
  </conditionalFormatting>
  <dataValidations count="2">
    <dataValidation type="list" allowBlank="1" showInputMessage="1" showErrorMessage="1" sqref="B1" xr:uid="{919660B1-EB29-4BD3-954B-69BF716DF71E}">
      <formula1>MONTHS</formula1>
    </dataValidation>
    <dataValidation type="list" allowBlank="1" showInputMessage="1" showErrorMessage="1" sqref="B4:I4 J3:R3" xr:uid="{4DD99327-403D-4E8A-BC39-41ECB5FAE718}">
      <formula1>ArtistsList</formula1>
    </dataValidation>
  </dataValidations>
  <pageMargins left="0.7" right="0.7" top="0.75" bottom="0.75" header="0.3" footer="0.3"/>
  <pageSetup scale="32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1D7DEF-21AB-45E5-A559-27FDF573EE9A}">
          <x14:formula1>
            <xm:f>'MASTER DATA'!$K$2:$K$3</xm:f>
          </x14:formula1>
          <xm:sqref>D1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10B48-F08A-423E-BA52-4CDD538BA1A0}">
  <sheetPr codeName="Sheet5"/>
  <dimension ref="A1:M30"/>
  <sheetViews>
    <sheetView workbookViewId="0">
      <selection activeCell="N3" sqref="N3"/>
    </sheetView>
  </sheetViews>
  <sheetFormatPr defaultRowHeight="14.4" x14ac:dyDescent="0.3"/>
  <cols>
    <col min="1" max="1" width="17.33203125" style="1" bestFit="1" customWidth="1"/>
    <col min="2" max="2" width="8.88671875" style="1"/>
    <col min="3" max="3" width="14.44140625" style="1" bestFit="1" customWidth="1"/>
    <col min="4" max="4" width="8.88671875" style="1"/>
    <col min="5" max="5" width="10.77734375" style="1" bestFit="1" customWidth="1"/>
    <col min="6" max="6" width="8.88671875" style="1"/>
    <col min="7" max="7" width="10.88671875" style="1" bestFit="1" customWidth="1"/>
    <col min="8" max="8" width="8.88671875" style="1"/>
    <col min="9" max="9" width="10.77734375" style="1" bestFit="1" customWidth="1"/>
    <col min="10" max="10" width="8.88671875" style="1"/>
    <col min="11" max="11" width="5.21875" style="1" bestFit="1" customWidth="1"/>
    <col min="12" max="12" width="8.88671875" style="1"/>
    <col min="13" max="13" width="19.33203125" style="1" bestFit="1" customWidth="1"/>
    <col min="14" max="16384" width="8.88671875" style="1"/>
  </cols>
  <sheetData>
    <row r="1" spans="1:13" x14ac:dyDescent="0.3">
      <c r="A1" s="5" t="s">
        <v>6</v>
      </c>
      <c r="C1" s="3" t="s">
        <v>15</v>
      </c>
      <c r="E1" s="3" t="s">
        <v>77</v>
      </c>
      <c r="G1" s="3" t="s">
        <v>32</v>
      </c>
      <c r="I1" s="3" t="s">
        <v>75</v>
      </c>
      <c r="K1" s="3" t="s">
        <v>85</v>
      </c>
      <c r="M1" s="3" t="s">
        <v>119</v>
      </c>
    </row>
    <row r="2" spans="1:13" x14ac:dyDescent="0.3">
      <c r="A2" s="1" t="s">
        <v>8</v>
      </c>
      <c r="C2" s="1" t="s">
        <v>16</v>
      </c>
      <c r="E2" s="1" t="s">
        <v>20</v>
      </c>
      <c r="G2" s="1" t="s">
        <v>49</v>
      </c>
      <c r="I2" s="1" t="s">
        <v>63</v>
      </c>
      <c r="K2" s="1">
        <v>2025</v>
      </c>
      <c r="M2" s="1" t="s">
        <v>131</v>
      </c>
    </row>
    <row r="3" spans="1:13" x14ac:dyDescent="0.3">
      <c r="A3" s="1" t="s">
        <v>9</v>
      </c>
      <c r="C3" s="1" t="s">
        <v>17</v>
      </c>
      <c r="E3" s="1" t="s">
        <v>14</v>
      </c>
      <c r="G3" s="1" t="s">
        <v>33</v>
      </c>
      <c r="I3" s="1" t="s">
        <v>64</v>
      </c>
      <c r="K3" s="1">
        <v>2026</v>
      </c>
      <c r="M3" s="1" t="s">
        <v>132</v>
      </c>
    </row>
    <row r="4" spans="1:13" x14ac:dyDescent="0.3">
      <c r="A4" s="1" t="s">
        <v>10</v>
      </c>
      <c r="C4" s="1" t="s">
        <v>18</v>
      </c>
      <c r="E4" s="1" t="s">
        <v>21</v>
      </c>
      <c r="G4" s="1" t="s">
        <v>50</v>
      </c>
      <c r="I4" s="1" t="s">
        <v>65</v>
      </c>
      <c r="M4" s="1" t="s">
        <v>133</v>
      </c>
    </row>
    <row r="5" spans="1:13" x14ac:dyDescent="0.3">
      <c r="A5" s="1" t="s">
        <v>11</v>
      </c>
      <c r="C5" s="1" t="s">
        <v>19</v>
      </c>
      <c r="E5" s="1" t="s">
        <v>22</v>
      </c>
      <c r="I5" s="1" t="s">
        <v>66</v>
      </c>
      <c r="M5" s="1" t="s">
        <v>134</v>
      </c>
    </row>
    <row r="6" spans="1:13" x14ac:dyDescent="0.3">
      <c r="A6" s="1" t="s">
        <v>12</v>
      </c>
      <c r="C6" s="1" t="s">
        <v>27</v>
      </c>
      <c r="E6" s="1" t="s">
        <v>23</v>
      </c>
      <c r="I6" s="1" t="s">
        <v>67</v>
      </c>
      <c r="M6" s="1" t="s">
        <v>135</v>
      </c>
    </row>
    <row r="7" spans="1:13" x14ac:dyDescent="0.3">
      <c r="A7" s="1" t="s">
        <v>125</v>
      </c>
      <c r="C7" s="1" t="s">
        <v>28</v>
      </c>
      <c r="E7" s="1" t="s">
        <v>24</v>
      </c>
      <c r="I7" s="1" t="s">
        <v>68</v>
      </c>
      <c r="M7" s="1" t="s">
        <v>136</v>
      </c>
    </row>
    <row r="8" spans="1:13" x14ac:dyDescent="0.3">
      <c r="A8" s="1" t="s">
        <v>124</v>
      </c>
      <c r="E8" s="1" t="s">
        <v>25</v>
      </c>
      <c r="I8" s="1" t="s">
        <v>69</v>
      </c>
      <c r="M8" s="1" t="s">
        <v>137</v>
      </c>
    </row>
    <row r="9" spans="1:13" x14ac:dyDescent="0.3">
      <c r="A9" s="1" t="s">
        <v>122</v>
      </c>
      <c r="E9" s="1" t="s">
        <v>26</v>
      </c>
      <c r="I9" s="1" t="s">
        <v>70</v>
      </c>
      <c r="M9" s="1" t="s">
        <v>138</v>
      </c>
    </row>
    <row r="10" spans="1:13" x14ac:dyDescent="0.3">
      <c r="A10" s="1" t="s">
        <v>123</v>
      </c>
      <c r="I10" s="1" t="s">
        <v>71</v>
      </c>
      <c r="M10" s="1" t="s">
        <v>139</v>
      </c>
    </row>
    <row r="11" spans="1:13" x14ac:dyDescent="0.3">
      <c r="I11" s="1" t="s">
        <v>72</v>
      </c>
      <c r="M11" s="1" t="s">
        <v>140</v>
      </c>
    </row>
    <row r="12" spans="1:13" x14ac:dyDescent="0.3">
      <c r="I12" s="1" t="s">
        <v>73</v>
      </c>
      <c r="M12" s="1" t="s">
        <v>141</v>
      </c>
    </row>
    <row r="13" spans="1:13" x14ac:dyDescent="0.3">
      <c r="I13" s="1" t="s">
        <v>74</v>
      </c>
      <c r="M13" s="1" t="s">
        <v>142</v>
      </c>
    </row>
    <row r="14" spans="1:13" x14ac:dyDescent="0.3">
      <c r="M14" s="1" t="s">
        <v>143</v>
      </c>
    </row>
    <row r="15" spans="1:13" x14ac:dyDescent="0.3">
      <c r="M15" s="1" t="s">
        <v>144</v>
      </c>
    </row>
    <row r="16" spans="1:13" x14ac:dyDescent="0.3">
      <c r="M16" s="1" t="s">
        <v>145</v>
      </c>
    </row>
    <row r="18" spans="13:13" x14ac:dyDescent="0.3">
      <c r="M18" s="11"/>
    </row>
    <row r="19" spans="13:13" x14ac:dyDescent="0.3">
      <c r="M19" s="11"/>
    </row>
    <row r="20" spans="13:13" x14ac:dyDescent="0.3">
      <c r="M20" s="11"/>
    </row>
    <row r="21" spans="13:13" x14ac:dyDescent="0.3">
      <c r="M21" s="11"/>
    </row>
    <row r="22" spans="13:13" x14ac:dyDescent="0.3">
      <c r="M22" s="11"/>
    </row>
    <row r="23" spans="13:13" x14ac:dyDescent="0.3">
      <c r="M23" s="11"/>
    </row>
    <row r="24" spans="13:13" x14ac:dyDescent="0.3">
      <c r="M24" s="11"/>
    </row>
    <row r="25" spans="13:13" x14ac:dyDescent="0.3">
      <c r="M25" s="11"/>
    </row>
    <row r="26" spans="13:13" x14ac:dyDescent="0.3">
      <c r="M26" s="11"/>
    </row>
    <row r="27" spans="13:13" x14ac:dyDescent="0.3">
      <c r="M27" s="11"/>
    </row>
    <row r="28" spans="13:13" x14ac:dyDescent="0.3">
      <c r="M28" s="11"/>
    </row>
    <row r="29" spans="13:13" x14ac:dyDescent="0.3">
      <c r="M29" s="11"/>
    </row>
    <row r="30" spans="13:13" x14ac:dyDescent="0.3">
      <c r="M30" s="1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A4E88-7414-425B-89A4-45194CE692AB}">
  <sheetPr codeName="Sheet1"/>
  <dimension ref="A1:D35"/>
  <sheetViews>
    <sheetView workbookViewId="0">
      <selection activeCell="A3" sqref="A3:XFD3"/>
    </sheetView>
  </sheetViews>
  <sheetFormatPr defaultRowHeight="14.4" x14ac:dyDescent="0.3"/>
  <cols>
    <col min="1" max="1" width="29.33203125" bestFit="1" customWidth="1"/>
    <col min="2" max="2" width="18" bestFit="1" customWidth="1"/>
    <col min="3" max="3" width="18.33203125" bestFit="1" customWidth="1"/>
    <col min="4" max="4" width="17.33203125" bestFit="1" customWidth="1"/>
  </cols>
  <sheetData>
    <row r="1" spans="1:4" x14ac:dyDescent="0.3">
      <c r="A1" s="62" t="s">
        <v>151</v>
      </c>
    </row>
    <row r="2" spans="1:4" x14ac:dyDescent="0.3">
      <c r="A2" s="62" t="s">
        <v>152</v>
      </c>
    </row>
    <row r="3" spans="1:4" x14ac:dyDescent="0.3">
      <c r="A3" s="62"/>
    </row>
    <row r="4" spans="1:4" x14ac:dyDescent="0.3">
      <c r="A4" s="6" t="s">
        <v>147</v>
      </c>
      <c r="B4" t="s">
        <v>148</v>
      </c>
      <c r="C4" t="s">
        <v>149</v>
      </c>
      <c r="D4" t="s">
        <v>150</v>
      </c>
    </row>
    <row r="5" spans="1:4" x14ac:dyDescent="0.3">
      <c r="A5" s="7" t="s">
        <v>17</v>
      </c>
      <c r="B5">
        <v>380000</v>
      </c>
      <c r="C5">
        <v>104000</v>
      </c>
      <c r="D5">
        <v>276000</v>
      </c>
    </row>
    <row r="6" spans="1:4" x14ac:dyDescent="0.3">
      <c r="A6" s="8" t="s">
        <v>33</v>
      </c>
      <c r="B6">
        <v>240000</v>
      </c>
      <c r="C6">
        <v>104000</v>
      </c>
      <c r="D6">
        <v>136000</v>
      </c>
    </row>
    <row r="7" spans="1:4" x14ac:dyDescent="0.3">
      <c r="A7" s="9" t="s">
        <v>101</v>
      </c>
      <c r="B7">
        <v>80000</v>
      </c>
      <c r="C7">
        <v>104000</v>
      </c>
      <c r="D7">
        <v>-24000</v>
      </c>
    </row>
    <row r="8" spans="1:4" x14ac:dyDescent="0.3">
      <c r="A8" s="9" t="s">
        <v>106</v>
      </c>
      <c r="B8">
        <v>80000</v>
      </c>
      <c r="C8">
        <v>0</v>
      </c>
      <c r="D8">
        <v>80000</v>
      </c>
    </row>
    <row r="9" spans="1:4" x14ac:dyDescent="0.3">
      <c r="A9" s="9" t="s">
        <v>108</v>
      </c>
      <c r="B9">
        <v>80000</v>
      </c>
      <c r="C9">
        <v>0</v>
      </c>
      <c r="D9">
        <v>80000</v>
      </c>
    </row>
    <row r="10" spans="1:4" x14ac:dyDescent="0.3">
      <c r="A10" s="8" t="s">
        <v>49</v>
      </c>
      <c r="B10">
        <v>140000</v>
      </c>
      <c r="C10">
        <v>0</v>
      </c>
      <c r="D10">
        <v>140000</v>
      </c>
    </row>
    <row r="11" spans="1:4" x14ac:dyDescent="0.3">
      <c r="A11" s="9" t="s">
        <v>60</v>
      </c>
      <c r="B11">
        <v>140000</v>
      </c>
      <c r="C11">
        <v>0</v>
      </c>
      <c r="D11">
        <v>140000</v>
      </c>
    </row>
    <row r="12" spans="1:4" x14ac:dyDescent="0.3">
      <c r="A12" s="7" t="s">
        <v>16</v>
      </c>
      <c r="B12">
        <v>100004</v>
      </c>
      <c r="C12">
        <v>0</v>
      </c>
      <c r="D12">
        <v>100004</v>
      </c>
    </row>
    <row r="13" spans="1:4" x14ac:dyDescent="0.3">
      <c r="A13" s="8" t="s">
        <v>33</v>
      </c>
      <c r="B13">
        <v>80000</v>
      </c>
      <c r="C13">
        <v>0</v>
      </c>
      <c r="D13">
        <v>80000</v>
      </c>
    </row>
    <row r="14" spans="1:4" x14ac:dyDescent="0.3">
      <c r="A14" s="9" t="s">
        <v>107</v>
      </c>
      <c r="B14">
        <v>80000</v>
      </c>
      <c r="C14">
        <v>0</v>
      </c>
      <c r="D14">
        <v>80000</v>
      </c>
    </row>
    <row r="15" spans="1:4" x14ac:dyDescent="0.3">
      <c r="A15" s="8" t="s">
        <v>49</v>
      </c>
      <c r="B15">
        <v>20004</v>
      </c>
      <c r="C15">
        <v>0</v>
      </c>
      <c r="D15">
        <v>20004</v>
      </c>
    </row>
    <row r="16" spans="1:4" x14ac:dyDescent="0.3">
      <c r="A16" s="9" t="s">
        <v>60</v>
      </c>
      <c r="B16">
        <v>20000</v>
      </c>
      <c r="C16">
        <v>0</v>
      </c>
      <c r="D16">
        <v>20000</v>
      </c>
    </row>
    <row r="17" spans="1:4" x14ac:dyDescent="0.3">
      <c r="A17" s="9" t="s">
        <v>111</v>
      </c>
      <c r="B17">
        <v>4</v>
      </c>
      <c r="C17">
        <v>0</v>
      </c>
      <c r="D17">
        <v>4</v>
      </c>
    </row>
    <row r="18" spans="1:4" x14ac:dyDescent="0.3">
      <c r="A18" s="7" t="s">
        <v>19</v>
      </c>
      <c r="B18">
        <v>82222</v>
      </c>
      <c r="C18">
        <v>0</v>
      </c>
      <c r="D18">
        <v>82222</v>
      </c>
    </row>
    <row r="19" spans="1:4" x14ac:dyDescent="0.3">
      <c r="A19" s="8" t="s">
        <v>33</v>
      </c>
      <c r="B19">
        <v>82222</v>
      </c>
      <c r="C19">
        <v>0</v>
      </c>
      <c r="D19">
        <v>82222</v>
      </c>
    </row>
    <row r="20" spans="1:4" x14ac:dyDescent="0.3">
      <c r="A20" s="9" t="s">
        <v>91</v>
      </c>
      <c r="B20">
        <v>80000</v>
      </c>
      <c r="C20">
        <v>0</v>
      </c>
      <c r="D20">
        <v>80000</v>
      </c>
    </row>
    <row r="21" spans="1:4" x14ac:dyDescent="0.3">
      <c r="A21" s="9" t="s">
        <v>111</v>
      </c>
      <c r="B21">
        <v>2222</v>
      </c>
      <c r="C21">
        <v>0</v>
      </c>
      <c r="D21">
        <v>2222</v>
      </c>
    </row>
    <row r="22" spans="1:4" x14ac:dyDescent="0.3">
      <c r="A22" s="7" t="s">
        <v>57</v>
      </c>
    </row>
    <row r="23" spans="1:4" x14ac:dyDescent="0.3">
      <c r="A23" s="8" t="s">
        <v>57</v>
      </c>
    </row>
    <row r="24" spans="1:4" x14ac:dyDescent="0.3">
      <c r="A24" s="9" t="s">
        <v>57</v>
      </c>
    </row>
    <row r="25" spans="1:4" x14ac:dyDescent="0.3">
      <c r="A25" s="7" t="s">
        <v>18</v>
      </c>
      <c r="B25">
        <v>120000</v>
      </c>
      <c r="C25">
        <v>0</v>
      </c>
      <c r="D25">
        <v>120000</v>
      </c>
    </row>
    <row r="26" spans="1:4" x14ac:dyDescent="0.3">
      <c r="A26" s="8" t="s">
        <v>50</v>
      </c>
      <c r="B26">
        <v>120000</v>
      </c>
      <c r="C26">
        <v>0</v>
      </c>
      <c r="D26">
        <v>120000</v>
      </c>
    </row>
    <row r="27" spans="1:4" x14ac:dyDescent="0.3">
      <c r="A27" s="9" t="s">
        <v>102</v>
      </c>
      <c r="B27">
        <v>120000</v>
      </c>
      <c r="C27">
        <v>0</v>
      </c>
      <c r="D27">
        <v>120000</v>
      </c>
    </row>
    <row r="28" spans="1:4" x14ac:dyDescent="0.3">
      <c r="A28" s="7" t="s">
        <v>27</v>
      </c>
      <c r="B28">
        <v>160000</v>
      </c>
      <c r="C28">
        <v>0</v>
      </c>
      <c r="D28">
        <v>160000</v>
      </c>
    </row>
    <row r="29" spans="1:4" x14ac:dyDescent="0.3">
      <c r="A29" s="8" t="s">
        <v>33</v>
      </c>
      <c r="B29">
        <v>160000</v>
      </c>
      <c r="C29">
        <v>0</v>
      </c>
      <c r="D29">
        <v>160000</v>
      </c>
    </row>
    <row r="30" spans="1:4" x14ac:dyDescent="0.3">
      <c r="A30" s="9" t="s">
        <v>103</v>
      </c>
      <c r="B30">
        <v>120000</v>
      </c>
      <c r="C30">
        <v>0</v>
      </c>
      <c r="D30">
        <v>120000</v>
      </c>
    </row>
    <row r="31" spans="1:4" x14ac:dyDescent="0.3">
      <c r="A31" s="9" t="s">
        <v>104</v>
      </c>
      <c r="B31">
        <v>40000</v>
      </c>
      <c r="C31">
        <v>0</v>
      </c>
      <c r="D31">
        <v>40000</v>
      </c>
    </row>
    <row r="32" spans="1:4" x14ac:dyDescent="0.3">
      <c r="A32" s="7" t="s">
        <v>28</v>
      </c>
      <c r="B32">
        <v>80000</v>
      </c>
      <c r="C32">
        <v>0</v>
      </c>
      <c r="D32">
        <v>80000</v>
      </c>
    </row>
    <row r="33" spans="1:4" x14ac:dyDescent="0.3">
      <c r="A33" s="8" t="s">
        <v>33</v>
      </c>
      <c r="B33">
        <v>80000</v>
      </c>
      <c r="C33">
        <v>0</v>
      </c>
      <c r="D33">
        <v>80000</v>
      </c>
    </row>
    <row r="34" spans="1:4" x14ac:dyDescent="0.3">
      <c r="A34" s="9" t="s">
        <v>105</v>
      </c>
      <c r="B34">
        <v>80000</v>
      </c>
      <c r="C34">
        <v>0</v>
      </c>
      <c r="D34">
        <v>80000</v>
      </c>
    </row>
    <row r="35" spans="1:4" x14ac:dyDescent="0.3">
      <c r="A35" s="7" t="s">
        <v>52</v>
      </c>
      <c r="B35">
        <v>922226</v>
      </c>
      <c r="C35">
        <v>104000</v>
      </c>
      <c r="D35">
        <v>818226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CEE97-5CC1-4C6F-9D8C-47328DCC51EE}">
  <sheetPr codeName="Sheet3"/>
  <dimension ref="A3:B6"/>
  <sheetViews>
    <sheetView tabSelected="1" workbookViewId="0">
      <selection activeCell="A7" sqref="A7"/>
    </sheetView>
  </sheetViews>
  <sheetFormatPr defaultRowHeight="14.4" x14ac:dyDescent="0.3"/>
  <cols>
    <col min="1" max="1" width="12.5546875" bestFit="1" customWidth="1"/>
    <col min="2" max="2" width="24.44140625" bestFit="1" customWidth="1"/>
    <col min="8" max="8" width="14.33203125" bestFit="1" customWidth="1"/>
    <col min="9" max="9" width="24.44140625" bestFit="1" customWidth="1"/>
  </cols>
  <sheetData>
    <row r="3" spans="1:2" x14ac:dyDescent="0.3">
      <c r="A3" s="6" t="s">
        <v>51</v>
      </c>
      <c r="B3" t="s">
        <v>53</v>
      </c>
    </row>
    <row r="4" spans="1:2" x14ac:dyDescent="0.3">
      <c r="A4" s="61">
        <v>45981</v>
      </c>
      <c r="B4">
        <v>47000</v>
      </c>
    </row>
    <row r="5" spans="1:2" x14ac:dyDescent="0.3">
      <c r="A5" s="61">
        <v>45983</v>
      </c>
      <c r="B5">
        <v>100000</v>
      </c>
    </row>
    <row r="6" spans="1:2" x14ac:dyDescent="0.3">
      <c r="A6" s="61" t="s">
        <v>52</v>
      </c>
      <c r="B6">
        <v>147000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SHOOTS</vt:lpstr>
      <vt:lpstr>EXPENSE</vt:lpstr>
      <vt:lpstr>PAYMENTS RECEIVED</vt:lpstr>
      <vt:lpstr>VACATIONS</vt:lpstr>
      <vt:lpstr>ROASTER</vt:lpstr>
      <vt:lpstr>MASTER DATA</vt:lpstr>
      <vt:lpstr>SHOOTS SUMMARY</vt:lpstr>
      <vt:lpstr>RECEIVED SUMMARY</vt:lpstr>
      <vt:lpstr>ARTISTS</vt:lpstr>
      <vt:lpstr>COORDINATOR</vt:lpstr>
      <vt:lpstr>EXPENSE_CATEGORY</vt:lpstr>
      <vt:lpstr>MONTHS</vt:lpstr>
      <vt:lpstr>PAYMENT_MODE</vt:lpstr>
      <vt:lpstr>WORK_TYPE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adhiraj singh</dc:creator>
  <cp:lastModifiedBy>adhiraj singh</cp:lastModifiedBy>
  <cp:lastPrinted>2025-12-01T06:22:48Z</cp:lastPrinted>
  <dcterms:created xsi:type="dcterms:W3CDTF">2025-11-25T09:58:06Z</dcterms:created>
  <dcterms:modified xsi:type="dcterms:W3CDTF">2025-12-01T06:22:54Z</dcterms:modified>
</cp:coreProperties>
</file>